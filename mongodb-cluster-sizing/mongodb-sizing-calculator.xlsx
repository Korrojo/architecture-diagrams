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b3b564417543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4d93dad605ce4cf6"/>
    <x:sheet xmlns:r="http://schemas.openxmlformats.org/officeDocument/2006/relationships" name="Application Inputs" sheetId="2" r:id="Rf6ed8ed651a846e1"/>
    <x:sheet xmlns:r="http://schemas.openxmlformats.org/officeDocument/2006/relationships" name="Collection Inputs" sheetId="3" r:id="Rbe52c23e2f6642f3"/>
    <x:sheet xmlns:r="http://schemas.openxmlformats.org/officeDocument/2006/relationships" name="Projections" sheetId="4" r:id="R6e941adfdb7b402b"/>
    <x:sheet xmlns:r="http://schemas.openxmlformats.org/officeDocument/2006/relationships" name="Sizing Summary" sheetId="5" r:id="R56b71765accf4de3"/>
    <x:sheet xmlns:r="http://schemas.openxmlformats.org/officeDocument/2006/relationships" name="Sources" sheetId="6" r:id="R6690879917eb48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#,##0.0"/>
    <x:numFmt numFmtId="203" formatCode="#,##0"/>
    <x:numFmt numFmtId="204" formatCode="#,##0.00"/>
    <x:numFmt numFmtId="205" formatCode="&quot;Year &quot;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i/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</x:fills>
  <x:borders count="10">
    <x:border/>
    <x:border>
      <x:left style="thin">
        <x:color rgb="FFB8C2CC"/>
      </x:left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right style="thin">
        <x:color rgb="FFB8C2CC"/>
      </x:right>
      <x:bottom style="thin">
        <x:color rgb="FFB8C2CC"/>
      </x:bottom>
    </x:border>
    <x:border>
      <x:left style="thin">
        <x:color rgb="FFB8C2CC"/>
      </x:left>
      <x:bottom style="thin">
        <x:color rgb="FFB8C2CC"/>
      </x:bottom>
    </x:border>
    <x:border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thin">
        <x:color rgb="FFB8C2CC"/>
      </x:left>
      <x:top style="thin">
        <x:color rgb="FFB8C2CC"/>
      </x:top>
      <x:bottom style="thin">
        <x:color rgb="FFB8C2CC"/>
      </x:bottom>
    </x:border>
    <x:border>
      <x:right style="thin">
        <x:color rgb="FFB8C2CC"/>
      </x:right>
      <x:top style="thin">
        <x:color rgb="FFB8C2CC"/>
      </x:top>
    </x:border>
    <x:border>
      <x:left style="thin">
        <x:color rgb="FFB8C2CC"/>
      </x:left>
      <x:top style="thin">
        <x:color rgb="FFB8C2CC"/>
      </x:top>
    </x:border>
    <x:border>
      <x:left style="thin">
        <x:color rgb="FFB8C2CC"/>
      </x:left>
      <x:right style="thin">
        <x:color rgb="FFB8C2CC"/>
      </x:right>
      <x:bottom style="thin">
        <x:color rgb="FFB8C2CC"/>
      </x:bottom>
    </x:border>
    <x:border>
      <x:left style="thin">
        <x:color rgb="FFB8C2CC"/>
      </x:left>
      <x:right style="thin">
        <x:color rgb="FFB8C2CC"/>
      </x:right>
      <x:top style="thin">
        <x:color rgb="FFB8C2CC"/>
      </x:top>
    </x:border>
  </x:borders>
  <x:cellStyleXfs count="1">
    <x:xf numFmtId="0" fontId="0" fillId="0" borderId="0"/>
  </x:cellStyleXfs>
  <x:cellXfs count="9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5" fillId="4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1" xfId="0" applyNumberFormat="1" applyFont="1" applyFill="1" applyBorder="1"/>
    <x:xf numFmtId="0" fontId="0" fillId="0" borderId="9" xfId="0" applyNumberFormat="1" applyFont="1" applyFill="1" applyBorder="1"/>
    <x:xf numFmtId="0" fontId="0" fillId="0" borderId="8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5" borderId="8" xfId="0" applyNumberFormat="1" applyFont="1" applyFill="1" applyBorder="1" applyAlignment="1">
      <x:alignment vertical="top"/>
    </x:xf>
    <x:xf numFmtId="0" fontId="0" fillId="5" borderId="1" xfId="0" applyNumberFormat="1" applyFont="1" applyFill="1" applyBorder="1" applyAlignment="1">
      <x:alignment vertical="top"/>
    </x:xf>
    <x:xf numFmtId="0" fontId="0" fillId="5" borderId="9" xfId="0" applyNumberFormat="1" applyFont="1" applyFill="1" applyBorder="1" applyAlignment="1">
      <x:alignment vertical="top"/>
    </x:xf>
    <x:xf numFmtId="200" fontId="0" fillId="5" borderId="1" xfId="0" applyNumberFormat="1" applyFont="1" applyFill="1" applyBorder="1" applyAlignment="1">
      <x:alignment vertical="top"/>
    </x:xf>
    <x:xf numFmtId="201" fontId="0" fillId="5" borderId="1" xfId="0" applyNumberFormat="1" applyFont="1" applyFill="1" applyBorder="1" applyAlignment="1">
      <x:alignment vertical="top"/>
    </x:xf>
    <x:xf numFmtId="202" fontId="0" fillId="5" borderId="8" xfId="0" applyNumberFormat="1" applyFont="1" applyFill="1" applyBorder="1" applyAlignment="1">
      <x:alignment vertical="top"/>
    </x:xf>
    <x:xf numFmtId="202" fontId="0" fillId="5" borderId="1" xfId="0" applyNumberFormat="1" applyFont="1" applyFill="1" applyBorder="1" applyAlignment="1">
      <x:alignment vertical="top"/>
    </x:xf>
    <x:xf numFmtId="203" fontId="0" fillId="5" borderId="1" xfId="0" applyNumberFormat="1" applyFont="1" applyFill="1" applyBorder="1" applyAlignment="1">
      <x:alignment vertical="top"/>
    </x:xf>
    <x:xf numFmtId="203" fontId="0" fillId="5" borderId="9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1" xfId="0" applyNumberFormat="1" applyFont="1" applyFill="1" applyBorder="1"/>
    <x:xf numFmtId="203" fontId="0" fillId="5" borderId="1" xfId="0" applyNumberFormat="1" applyFont="1" applyFill="1" applyBorder="1"/>
    <x:xf numFmtId="200" fontId="0" fillId="5" borderId="1" xfId="0" applyNumberFormat="1" applyFont="1" applyFill="1" applyBorder="1"/>
    <x:xf numFmtId="204" fontId="0" fillId="6" borderId="1" xfId="0" applyNumberFormat="1" applyFont="1" applyFill="1" applyBorder="1"/>
    <x:xf numFmtId="205" fontId="4" fillId="2" borderId="1" xfId="0" applyNumberFormat="1" applyFont="1" applyFill="1" applyBorder="1" applyAlignment="1">
      <x:alignment vertical="center" wrapText="1"/>
    </x:xf>
    <x:xf numFmtId="204" fontId="0" fillId="6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7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2" fontId="0" fillId="5" borderId="8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2" fontId="0" fillId="5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200" fontId="0" fillId="5" borderId="1" xfId="0" applyNumberFormat="1" applyFont="1" applyFill="1" applyBorder="1" applyAlignment="1">
      <x:alignment vertical="top" wrapText="1"/>
    </x:xf>
    <x:xf numFmtId="203" fontId="0" fillId="5" borderId="1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3" fontId="0" fillId="5" borderId="9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204" fontId="0" fillId="6" borderId="1" xfId="0" applyNumberFormat="1" applyFont="1" applyFill="1" applyBorder="1" applyAlignment="1">
      <x:alignment vertical="top"/>
    </x:xf>
    <x:xf numFmtId="204" fontId="0" fillId="6" borderId="1" xfId="0" applyNumberFormat="1" applyFont="1" applyFill="1" applyBorder="1" applyAlignment="1">
      <x:alignment vertical="top" wrapText="1"/>
    </x:xf>
    <x:xf numFmtId="205" fontId="4" fillId="2" borderId="1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/>
    </x:xf>
    <x:xf numFmtId="0" fontId="0" fillId="4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ef822bbb034e57" /><Relationship Type="http://schemas.openxmlformats.org/officeDocument/2006/relationships/theme" Target="/xl/theme/theme1.xml" Id="R719c16aca5ef470b" /><Relationship Type="http://schemas.openxmlformats.org/officeDocument/2006/relationships/sharedStrings" Target="/xl/sharedStrings.xml" Id="R87d319c6110d42b6" /><Relationship Type="http://schemas.openxmlformats.org/officeDocument/2006/relationships/worksheet" Target="/xl/worksheets/sheet1.xml" Id="R4d93dad605ce4cf6" /><Relationship Type="http://schemas.openxmlformats.org/officeDocument/2006/relationships/worksheet" Target="/xl/worksheets/sheet2.xml" Id="Rf6ed8ed651a846e1" /><Relationship Type="http://schemas.openxmlformats.org/officeDocument/2006/relationships/worksheet" Target="/xl/worksheets/sheet3.xml" Id="Rbe52c23e2f6642f3" /><Relationship Type="http://schemas.openxmlformats.org/officeDocument/2006/relationships/worksheet" Target="/xl/worksheets/sheet4.xml" Id="R6e941adfdb7b402b" /><Relationship Type="http://schemas.openxmlformats.org/officeDocument/2006/relationships/worksheet" Target="/xl/worksheets/sheet5.xml" Id="R56b71765accf4de3" /><Relationship Type="http://schemas.openxmlformats.org/officeDocument/2006/relationships/worksheet" Target="/xl/worksheets/sheet6.xml" Id="R6690879917eb484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30" customHeight="1">
      <x:c r="A1" s="66" t="str">
        <x:v>MongoDB Sizing Calculator</x:v>
      </x:c>
      <x:c r="B1" s="66" t="str">
        <x:v>MongoDB Sizing Calculator</x:v>
      </x:c>
      <x:c r="C1" s="66" t="str">
        <x:v>MongoDB Sizing Calculator</x:v>
      </x:c>
      <x:c r="D1" s="66" t="str">
        <x:v>MongoDB Sizing Calculator</x:v>
      </x:c>
      <x:c r="E1" s="66" t="str">
        <x:v>MongoDB Sizing Calculator</x:v>
      </x:c>
      <x:c r="F1" s="66" t="str">
        <x:v>MongoDB Sizing Calculator</x:v>
      </x:c>
    </x:row>
    <x:row r="2" ht="30" customHeight="1">
      <x:c r="A2" s="66" t="str">
        <x:v>MongoDB Sizing Calculator</x:v>
      </x:c>
      <x:c r="B2" s="66" t="str">
        <x:v>MongoDB Sizing Calculator</x:v>
      </x:c>
      <x:c r="C2" s="66" t="str">
        <x:v>MongoDB Sizing Calculator</x:v>
      </x:c>
      <x:c r="D2" s="66" t="str">
        <x:v>MongoDB Sizing Calculator</x:v>
      </x:c>
      <x:c r="E2" s="66" t="str">
        <x:v>MongoDB Sizing Calculator</x:v>
      </x:c>
      <x:c r="F2" s="66" t="str">
        <x:v>MongoDB Sizing Calculator</x:v>
      </x:c>
    </x:row>
    <x:row r="3">
      <x:c r="A3" s="67"/>
      <x:c r="B3" s="67"/>
      <x:c r="C3" s="67"/>
      <x:c r="D3" s="67"/>
      <x:c r="E3" s="67"/>
      <x:c r="F3" s="67"/>
    </x:row>
    <x:row r="4">
      <x:c r="A4" s="68" t="str">
        <x:v>Purpose</x:v>
      </x:c>
      <x:c r="B4" s="68"/>
      <x:c r="C4" s="68"/>
      <x:c r="D4" s="68"/>
      <x:c r="E4" s="68"/>
      <x:c r="F4" s="68"/>
    </x:row>
    <x:row r="5">
      <x:c r="A5" s="26" t="str">
        <x:v>Initial planning workbook for translating application workload information into data, working-set, oplog, and storage estimates. CPU and IOPS require representative testing.</x:v>
      </x:c>
      <x:c r="B5" s="26"/>
      <x:c r="C5" s="26"/>
      <x:c r="D5" s="26"/>
      <x:c r="E5" s="26"/>
      <x:c r="F5" s="26"/>
    </x:row>
    <x:row r="6">
      <x:c r="A6" s="67"/>
      <x:c r="B6" s="67"/>
      <x:c r="C6" s="67"/>
      <x:c r="D6" s="67"/>
      <x:c r="E6" s="67"/>
      <x:c r="F6" s="67"/>
    </x:row>
    <x:row r="7">
      <x:c r="A7" s="27" t="str">
        <x:v>Step</x:v>
      </x:c>
      <x:c r="B7" s="27" t="str">
        <x:v>Action</x:v>
      </x:c>
      <x:c r="C7" s="67"/>
      <x:c r="D7" s="67"/>
      <x:c r="E7" s="67"/>
      <x:c r="F7" s="67"/>
    </x:row>
    <x:row r="8">
      <x:c r="A8" s="69" t="n">
        <x:v>1</x:v>
      </x:c>
      <x:c r="B8" s="70" t="str">
        <x:v>Complete the application-team questionnaire.</x:v>
      </x:c>
      <x:c r="C8" s="67"/>
      <x:c r="D8" s="67"/>
      <x:c r="E8" s="67"/>
      <x:c r="F8" s="67"/>
    </x:row>
    <x:row r="9">
      <x:c r="A9" s="71" t="n">
        <x:v>2</x:v>
      </x:c>
      <x:c r="B9" s="72" t="str">
        <x:v>Enter normalized values in Application Inputs.</x:v>
      </x:c>
      <x:c r="C9" s="67"/>
      <x:c r="D9" s="67"/>
      <x:c r="E9" s="67"/>
      <x:c r="F9" s="67"/>
    </x:row>
    <x:row r="10">
      <x:c r="A10" s="71" t="n">
        <x:v>3</x:v>
      </x:c>
      <x:c r="B10" s="72" t="str">
        <x:v>Optionally enter collection-level estimates in Collection Inputs.</x:v>
      </x:c>
      <x:c r="C10" s="67"/>
      <x:c r="D10" s="67"/>
      <x:c r="E10" s="67"/>
      <x:c r="F10" s="67"/>
    </x:row>
    <x:row r="11">
      <x:c r="A11" s="71" t="n">
        <x:v>4</x:v>
      </x:c>
      <x:c r="B11" s="72" t="str">
        <x:v>Review formula-driven Projections and Sizing Summary.</x:v>
      </x:c>
      <x:c r="C11" s="67"/>
      <x:c r="D11" s="67"/>
      <x:c r="E11" s="67"/>
      <x:c r="F11" s="67"/>
    </x:row>
    <x:row r="12">
      <x:c r="A12" s="73" t="n">
        <x:v>5</x:v>
      </x:c>
      <x:c r="B12" s="74" t="str">
        <x:v>Validate CPU, RAM, IOPS, throughput, and latency with representative testing.</x:v>
      </x:c>
      <x:c r="C12" s="67"/>
      <x:c r="D12" s="67"/>
      <x:c r="E12" s="67"/>
      <x:c r="F12" s="67"/>
    </x:row>
    <x:row r="13">
      <x:c r="A13" s="67"/>
      <x:c r="B13" s="67"/>
      <x:c r="C13" s="67"/>
      <x:c r="D13" s="67"/>
      <x:c r="E13" s="67"/>
      <x:c r="F13" s="67"/>
    </x:row>
    <x:row r="14">
      <x:c r="A14" s="34" t="str">
        <x:v>Important: all blue cells are editable inputs. Yellow cells contain assumptions or heuristics that require review. Green cells contain calculated results.</x:v>
      </x:c>
      <x:c r="B14" s="34"/>
      <x:c r="C14" s="34"/>
      <x:c r="D14" s="34"/>
      <x:c r="E14" s="34"/>
      <x:c r="F14" s="34"/>
    </x:row>
    <x:row r="15">
      <x:c r="A15" s="67"/>
      <x:c r="B15" s="67"/>
      <x:c r="C15" s="67"/>
      <x:c r="D15" s="67"/>
      <x:c r="E15" s="67"/>
      <x:c r="F15" s="67"/>
    </x:row>
    <x:row r="16">
      <x:c r="A16" s="35" t="str">
        <x:v>Do not treat this workbook as a production specification. Preserve the evidence basis for every material input and update the assessment after workload testing.</x:v>
      </x:c>
      <x:c r="B16" s="35"/>
      <x:c r="C16" s="35"/>
      <x:c r="D16" s="35"/>
      <x:c r="E16" s="35"/>
      <x:c r="F16" s="35"/>
    </x:row>
    <x:row r="17">
      <x:c r="A17" s="67"/>
      <x:c r="B17" s="67"/>
      <x:c r="C17" s="67"/>
      <x:c r="D17" s="67"/>
      <x:c r="E17" s="67"/>
      <x:c r="F17" s="67"/>
    </x:row>
    <x:row r="18">
      <x:c r="A18" s="67"/>
      <x:c r="B18" s="67"/>
      <x:c r="C18" s="67"/>
      <x:c r="D18" s="67"/>
      <x:c r="E18" s="67"/>
      <x:c r="F18" s="67"/>
    </x:row>
  </x:sheetData>
  <x:mergeCells>
    <x:mergeCell ref="A1:F2"/>
    <x:mergeCell ref="A4:F4"/>
    <x:mergeCell ref="A5:F5"/>
    <x:mergeCell ref="A14:F14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8" hidden="0" customWidth="1"/>
    <x:col min="3" max="3" width="17" hidden="0" customWidth="1"/>
    <x:col min="4" max="4" width="18" hidden="0" customWidth="1"/>
    <x:col min="5" max="5" width="18" hidden="0" customWidth="1"/>
    <x:col min="6" max="6" width="52" hidden="0" customWidth="1"/>
  </x:cols>
  <x:sheetData>
    <x:row r="1" ht="30" customHeight="1">
      <x:c r="A1" s="66" t="str">
        <x:v>Application Inputs</x:v>
      </x:c>
      <x:c r="B1" s="66" t="str">
        <x:v>Application Inputs</x:v>
      </x:c>
      <x:c r="C1" s="66" t="str">
        <x:v>Application Inputs</x:v>
      </x:c>
      <x:c r="D1" s="66" t="str">
        <x:v>Application Inputs</x:v>
      </x:c>
      <x:c r="E1" s="66" t="str">
        <x:v>Application Inputs</x:v>
      </x:c>
      <x:c r="F1" s="66" t="str">
        <x:v>Application Inputs</x:v>
      </x:c>
    </x:row>
    <x:row r="2" ht="30" customHeight="1">
      <x:c r="A2" s="66" t="str">
        <x:v>Application Inputs</x:v>
      </x:c>
      <x:c r="B2" s="66" t="str">
        <x:v>Application Inputs</x:v>
      </x:c>
      <x:c r="C2" s="66" t="str">
        <x:v>Application Inputs</x:v>
      </x:c>
      <x:c r="D2" s="66" t="str">
        <x:v>Application Inputs</x:v>
      </x:c>
      <x:c r="E2" s="66" t="str">
        <x:v>Application Inputs</x:v>
      </x:c>
      <x:c r="F2" s="66" t="str">
        <x:v>Application Inputs</x:v>
      </x:c>
    </x:row>
    <x:row r="3">
      <x:c r="A3" s="67"/>
      <x:c r="B3" s="67"/>
      <x:c r="C3" s="67"/>
      <x:c r="D3" s="67"/>
      <x:c r="E3" s="67"/>
      <x:c r="F3" s="67"/>
    </x:row>
    <x:row r="4">
      <x:c r="A4" s="27" t="str">
        <x:v>ID</x:v>
      </x:c>
      <x:c r="B4" s="27" t="str">
        <x:v>Input</x:v>
      </x:c>
      <x:c r="C4" s="27" t="str">
        <x:v>Value</x:v>
      </x:c>
      <x:c r="D4" s="27" t="str">
        <x:v>Unit</x:v>
      </x:c>
      <x:c r="E4" s="27" t="str">
        <x:v>Answer basis</x:v>
      </x:c>
      <x:c r="F4" s="27" t="str">
        <x:v>Notes / evidence</x:v>
      </x:c>
    </x:row>
    <x:row r="5">
      <x:c r="A5" s="69" t="str">
        <x:v>IN-01</x:v>
      </x:c>
      <x:c r="B5" s="75" t="str">
        <x:v>Initial logical data</x:v>
      </x:c>
      <x:c r="C5" s="76" t="n">
        <x:v>0</x:v>
      </x:c>
      <x:c r="D5" s="75" t="str">
        <x:v>GiB</x:v>
      </x:c>
      <x:c r="E5" s="77" t="str">
        <x:v>Unknown</x:v>
      </x:c>
      <x:c r="F5" s="70" t="str">
        <x:v>Before MongoDB compression</x:v>
      </x:c>
    </x:row>
    <x:row r="6">
      <x:c r="A6" s="71" t="str">
        <x:v>IN-02</x:v>
      </x:c>
      <x:c r="B6" s="78" t="str">
        <x:v>Initial stored collection data</x:v>
      </x:c>
      <x:c r="C6" s="79" t="n">
        <x:v>0</x:v>
      </x:c>
      <x:c r="D6" s="78" t="str">
        <x:v>GiB</x:v>
      </x:c>
      <x:c r="E6" s="80" t="str">
        <x:v>Unknown</x:v>
      </x:c>
      <x:c r="F6" s="72" t="str">
        <x:v>Use measured storageSize when available</x:v>
      </x:c>
    </x:row>
    <x:row r="7">
      <x:c r="A7" s="71" t="str">
        <x:v>IN-03</x:v>
      </x:c>
      <x:c r="B7" s="78" t="str">
        <x:v>Initial index data</x:v>
      </x:c>
      <x:c r="C7" s="79" t="n">
        <x:v>0</x:v>
      </x:c>
      <x:c r="D7" s="78" t="str">
        <x:v>GiB</x:v>
      </x:c>
      <x:c r="E7" s="80" t="str">
        <x:v>Unknown</x:v>
      </x:c>
      <x:c r="F7" s="72" t="str">
        <x:v>Use measured totalIndexSize when available</x:v>
      </x:c>
    </x:row>
    <x:row r="8">
      <x:c r="A8" s="71" t="str">
        <x:v>IN-04</x:v>
      </x:c>
      <x:c r="B8" s="78" t="str">
        <x:v>Monthly logical data growth</x:v>
      </x:c>
      <x:c r="C8" s="79" t="n">
        <x:v>0</x:v>
      </x:c>
      <x:c r="D8" s="78" t="str">
        <x:v>GiB/month</x:v>
      </x:c>
      <x:c r="E8" s="80" t="str">
        <x:v>Unknown</x:v>
      </x:c>
      <x:c r="F8" s="72" t="str">
        <x:v>Normal sustained growth</x:v>
      </x:c>
    </x:row>
    <x:row r="9">
      <x:c r="A9" s="71" t="str">
        <x:v>IN-05</x:v>
      </x:c>
      <x:c r="B9" s="78" t="str">
        <x:v>Annual compound growth rate</x:v>
      </x:c>
      <x:c r="C9" s="81" t="n">
        <x:v>0.2</x:v>
      </x:c>
      <x:c r="D9" s="78" t="str">
        <x:v>%</x:v>
      </x:c>
      <x:c r="E9" s="80" t="str">
        <x:v>Estimated</x:v>
      </x:c>
      <x:c r="F9" s="72" t="str">
        <x:v>Used only for Compound model</x:v>
      </x:c>
    </x:row>
    <x:row r="10">
      <x:c r="A10" s="71" t="str">
        <x:v>IN-06</x:v>
      </x:c>
      <x:c r="B10" s="78" t="str">
        <x:v>Growth model</x:v>
      </x:c>
      <x:c r="C10" s="80" t="str">
        <x:v>Linear</x:v>
      </x:c>
      <x:c r="D10" s="78" t="str">
        <x:v>Linear/Compound</x:v>
      </x:c>
      <x:c r="E10" s="80" t="str">
        <x:v>Estimated</x:v>
      </x:c>
      <x:c r="F10" s="72" t="str">
        <x:v>Select one model</x:v>
      </x:c>
    </x:row>
    <x:row r="11">
      <x:c r="A11" s="71" t="str">
        <x:v>IN-07</x:v>
      </x:c>
      <x:c r="B11" s="78" t="str">
        <x:v>Stored-to-logical data ratio</x:v>
      </x:c>
      <x:c r="C11" s="81" t="n">
        <x:v>0.5</x:v>
      </x:c>
      <x:c r="D11" s="78" t="str">
        <x:v>%</x:v>
      </x:c>
      <x:c r="E11" s="80" t="str">
        <x:v>Estimated</x:v>
      </x:c>
      <x:c r="F11" s="72" t="str">
        <x:v>Prefer a representative data sample</x:v>
      </x:c>
    </x:row>
    <x:row r="12">
      <x:c r="A12" s="71" t="str">
        <x:v>IN-08</x:v>
      </x:c>
      <x:c r="B12" s="78" t="str">
        <x:v>Index-to-stored-data ratio</x:v>
      </x:c>
      <x:c r="C12" s="81" t="n">
        <x:v>0.25</x:v>
      </x:c>
      <x:c r="D12" s="78" t="str">
        <x:v>%</x:v>
      </x:c>
      <x:c r="E12" s="80" t="str">
        <x:v>Estimated</x:v>
      </x:c>
      <x:c r="F12" s="72" t="str">
        <x:v>Prefer representative index builds</x:v>
      </x:c>
    </x:row>
    <x:row r="13">
      <x:c r="A13" s="71" t="str">
        <x:v>IN-09</x:v>
      </x:c>
      <x:c r="B13" s="78" t="str">
        <x:v>Hot collection data percentage</x:v>
      </x:c>
      <x:c r="C13" s="81" t="n">
        <x:v>0.2</x:v>
      </x:c>
      <x:c r="D13" s="78" t="str">
        <x:v>%</x:v>
      </x:c>
      <x:c r="E13" s="80" t="str">
        <x:v>Estimated</x:v>
      </x:c>
      <x:c r="F13" s="72" t="str">
        <x:v>Frequently accessed stored data</x:v>
      </x:c>
    </x:row>
    <x:row r="14">
      <x:c r="A14" s="71" t="str">
        <x:v>IN-10</x:v>
      </x:c>
      <x:c r="B14" s="78" t="str">
        <x:v>Hot index percentage</x:v>
      </x:c>
      <x:c r="C14" s="81" t="n">
        <x:v>1</x:v>
      </x:c>
      <x:c r="D14" s="78" t="str">
        <x:v>%</x:v>
      </x:c>
      <x:c r="E14" s="80" t="str">
        <x:v>Estimated</x:v>
      </x:c>
      <x:c r="F14" s="72" t="str">
        <x:v>Frequently accessed index pages</x:v>
      </x:c>
    </x:row>
    <x:row r="15">
      <x:c r="A15" s="71" t="str">
        <x:v>IN-11</x:v>
      </x:c>
      <x:c r="B15" s="78" t="str">
        <x:v>Unused storage headroom target</x:v>
      </x:c>
      <x:c r="C15" s="81" t="n">
        <x:v>0.3</x:v>
      </x:c>
      <x:c r="D15" s="78" t="str">
        <x:v>%</x:v>
      </x:c>
      <x:c r="E15" s="80" t="str">
        <x:v>Business target</x:v>
      </x:c>
      <x:c r="F15" s="72" t="str">
        <x:v>Capacity kept free for growth and operations</x:v>
      </x:c>
    </x:row>
    <x:row r="16">
      <x:c r="A16" s="71" t="str">
        <x:v>IN-12</x:v>
      </x:c>
      <x:c r="B16" s="78" t="str">
        <x:v>Oplog generation rate</x:v>
      </x:c>
      <x:c r="C16" s="79" t="n">
        <x:v>0</x:v>
      </x:c>
      <x:c r="D16" s="78" t="str">
        <x:v>GiB/hour</x:v>
      </x:c>
      <x:c r="E16" s="80" t="str">
        <x:v>Unknown</x:v>
      </x:c>
      <x:c r="F16" s="72" t="str">
        <x:v>Measure under representative peak writes</x:v>
      </x:c>
    </x:row>
    <x:row r="17">
      <x:c r="A17" s="71" t="str">
        <x:v>IN-13</x:v>
      </x:c>
      <x:c r="B17" s="78" t="str">
        <x:v>Required oplog window</x:v>
      </x:c>
      <x:c r="C17" s="79" t="n">
        <x:v>24</x:v>
      </x:c>
      <x:c r="D17" s="78" t="str">
        <x:v>hours</x:v>
      </x:c>
      <x:c r="E17" s="80" t="str">
        <x:v>Business target</x:v>
      </x:c>
      <x:c r="F17" s="72" t="str">
        <x:v>Include maintenance and consumer outages</x:v>
      </x:c>
    </x:row>
    <x:row r="18">
      <x:c r="A18" s="71" t="str">
        <x:v>IN-14</x:v>
      </x:c>
      <x:c r="B18" s="78" t="str">
        <x:v>Oplog safety factor</x:v>
      </x:c>
      <x:c r="C18" s="79" t="n">
        <x:v>1.5</x:v>
      </x:c>
      <x:c r="D18" s="78" t="str">
        <x:v>multiplier</x:v>
      </x:c>
      <x:c r="E18" s="80" t="str">
        <x:v>Estimated</x:v>
      </x:c>
      <x:c r="F18" s="72" t="str">
        <x:v>Explicit planning assumption</x:v>
      </x:c>
    </x:row>
    <x:row r="19">
      <x:c r="A19" s="71" t="str">
        <x:v>IN-15</x:v>
      </x:c>
      <x:c r="B19" s="78" t="str">
        <x:v>Operational disk reserve</x:v>
      </x:c>
      <x:c r="C19" s="79" t="n">
        <x:v>20</x:v>
      </x:c>
      <x:c r="D19" s="78" t="str">
        <x:v>GiB</x:v>
      </x:c>
      <x:c r="E19" s="80" t="str">
        <x:v>Estimated</x:v>
      </x:c>
      <x:c r="F19" s="72" t="str">
        <x:v>Journal, logs, temp files, and maintenance reserve</x:v>
      </x:c>
    </x:row>
    <x:row r="20">
      <x:c r="A20" s="71" t="str">
        <x:v>IN-16</x:v>
      </x:c>
      <x:c r="B20" s="78" t="str">
        <x:v>Working set as share of host RAM</x:v>
      </x:c>
      <x:c r="C20" s="81" t="n">
        <x:v>0.4</x:v>
      </x:c>
      <x:c r="D20" s="78" t="str">
        <x:v>%</x:v>
      </x:c>
      <x:c r="E20" s="80" t="str">
        <x:v>Heuristic</x:v>
      </x:c>
      <x:c r="F20" s="72" t="str">
        <x:v>Planning heuristic; validate with workload tests</x:v>
      </x:c>
    </x:row>
    <x:row r="21">
      <x:c r="A21" s="71" t="str">
        <x:v>IN-17</x:v>
      </x:c>
      <x:c r="B21" s="78" t="str">
        <x:v>Replica-set data-bearing members</x:v>
      </x:c>
      <x:c r="C21" s="82" t="n">
        <x:v>3</x:v>
      </x:c>
      <x:c r="D21" s="78" t="str">
        <x:v>members</x:v>
      </x:c>
      <x:c r="E21" s="80" t="str">
        <x:v>Business target</x:v>
      </x:c>
      <x:c r="F21" s="72" t="str">
        <x:v>For total infrastructure storage only</x:v>
      </x:c>
    </x:row>
    <x:row r="22">
      <x:c r="A22" s="73" t="str">
        <x:v>IN-18</x:v>
      </x:c>
      <x:c r="B22" s="83" t="str">
        <x:v>Projection horizon</x:v>
      </x:c>
      <x:c r="C22" s="84" t="n">
        <x:v>5</x:v>
      </x:c>
      <x:c r="D22" s="83" t="str">
        <x:v>years</x:v>
      </x:c>
      <x:c r="E22" s="85" t="str">
        <x:v>Business target</x:v>
      </x:c>
      <x:c r="F22" s="74" t="str">
        <x:v>Workbook displays years 0 through 5</x:v>
      </x:c>
    </x:row>
  </x:sheetData>
  <x:mergeCells>
    <x:mergeCell ref="A1:F2"/>
  </x:mergeCells>
  <x:dataValidations count="2">
    <x:dataValidation type="list" sqref="E5:E22">
      <x:formula1>"Measured,Business target,Estimated,Heuristic,Unknown"</x:formula1>
    </x:dataValidation>
    <x:dataValidation type="list" sqref="C10">
      <x:formula1>"Linear,Compound"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21" hidden="0" customWidth="1"/>
    <x:col min="4" max="4" width="21" hidden="0" customWidth="1"/>
    <x:col min="5" max="5" width="21" hidden="0" customWidth="1"/>
    <x:col min="6" max="6" width="16" hidden="0" customWidth="1"/>
    <x:col min="7" max="7" width="16" hidden="0" customWidth="1"/>
    <x:col min="8" max="8" width="16" hidden="0" customWidth="1"/>
    <x:col min="9" max="9" width="15" hidden="0" customWidth="1"/>
    <x:col min="10" max="10" width="18" hidden="0" customWidth="1"/>
    <x:col min="11" max="11" width="18" hidden="0" customWidth="1"/>
    <x:col min="12" max="12" width="18" hidden="0" customWidth="1"/>
    <x:col min="13" max="13" width="35" hidden="0" customWidth="1"/>
  </x:cols>
  <x:sheetData>
    <x:row r="1" ht="30" customHeight="1">
      <x:c r="A1" s="66" t="str">
        <x:v>Optional Collection-Level Inputs</x:v>
      </x:c>
      <x:c r="B1" s="66" t="str">
        <x:v>Optional Collection-Level Inputs</x:v>
      </x:c>
      <x:c r="C1" s="66" t="str">
        <x:v>Optional Collection-Level Inputs</x:v>
      </x:c>
      <x:c r="D1" s="66" t="str">
        <x:v>Optional Collection-Level Inputs</x:v>
      </x:c>
      <x:c r="E1" s="66" t="str">
        <x:v>Optional Collection-Level Inputs</x:v>
      </x:c>
      <x:c r="F1" s="66" t="str">
        <x:v>Optional Collection-Level Inputs</x:v>
      </x:c>
      <x:c r="G1" s="66" t="str">
        <x:v>Optional Collection-Level Inputs</x:v>
      </x:c>
      <x:c r="H1" s="66" t="str">
        <x:v>Optional Collection-Level Inputs</x:v>
      </x:c>
      <x:c r="I1" s="66" t="str">
        <x:v>Optional Collection-Level Inputs</x:v>
      </x:c>
      <x:c r="J1" s="66" t="str">
        <x:v>Optional Collection-Level Inputs</x:v>
      </x:c>
      <x:c r="K1" s="66" t="str">
        <x:v>Optional Collection-Level Inputs</x:v>
      </x:c>
      <x:c r="L1" s="66" t="str">
        <x:v>Optional Collection-Level Inputs</x:v>
      </x:c>
      <x:c r="M1" s="66" t="str">
        <x:v>Optional Collection-Level Inputs</x:v>
      </x:c>
    </x:row>
    <x:row r="2" ht="30" customHeight="1">
      <x:c r="A2" s="66" t="str">
        <x:v>Optional Collection-Level Inputs</x:v>
      </x:c>
      <x:c r="B2" s="66" t="str">
        <x:v>Optional Collection-Level Inputs</x:v>
      </x:c>
      <x:c r="C2" s="66" t="str">
        <x:v>Optional Collection-Level Inputs</x:v>
      </x:c>
      <x:c r="D2" s="66" t="str">
        <x:v>Optional Collection-Level Inputs</x:v>
      </x:c>
      <x:c r="E2" s="66" t="str">
        <x:v>Optional Collection-Level Inputs</x:v>
      </x:c>
      <x:c r="F2" s="66" t="str">
        <x:v>Optional Collection-Level Inputs</x:v>
      </x:c>
      <x:c r="G2" s="66" t="str">
        <x:v>Optional Collection-Level Inputs</x:v>
      </x:c>
      <x:c r="H2" s="66" t="str">
        <x:v>Optional Collection-Level Inputs</x:v>
      </x:c>
      <x:c r="I2" s="66" t="str">
        <x:v>Optional Collection-Level Inputs</x:v>
      </x:c>
      <x:c r="J2" s="66" t="str">
        <x:v>Optional Collection-Level Inputs</x:v>
      </x:c>
      <x:c r="K2" s="66" t="str">
        <x:v>Optional Collection-Level Inputs</x:v>
      </x:c>
      <x:c r="L2" s="66" t="str">
        <x:v>Optional Collection-Level Inputs</x:v>
      </x:c>
      <x:c r="M2" s="66" t="str">
        <x:v>Optional Collection-Level Inputs</x:v>
      </x:c>
    </x:row>
    <x:row r="3">
      <x:c r="A3" s="67"/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  <x:c r="M3" s="67"/>
    </x:row>
    <x:row r="4">
      <x:c r="A4" s="27" t="str">
        <x:v>Collection label</x:v>
      </x:c>
      <x:c r="B4" s="27" t="str">
        <x:v>Initial documents</x:v>
      </x:c>
      <x:c r="C4" s="27" t="str">
        <x:v>Average logical bytes/document</x:v>
      </x:c>
      <x:c r="D4" s="27" t="str">
        <x:v>Monthly new documents</x:v>
      </x:c>
      <x:c r="E4" s="27" t="str">
        <x:v>Average stored bytes/document</x:v>
      </x:c>
      <x:c r="F4" s="27" t="str">
        <x:v>Index % of stored data</x:v>
      </x:c>
      <x:c r="G4" s="27" t="str">
        <x:v>Hot data %</x:v>
      </x:c>
      <x:c r="H4" s="27" t="str">
        <x:v>Hot index %</x:v>
      </x:c>
      <x:c r="I4" s="27" t="str">
        <x:v>Retention months</x:v>
      </x:c>
      <x:c r="J4" s="27" t="str">
        <x:v>Initial logical GiB</x:v>
      </x:c>
      <x:c r="K4" s="27" t="str">
        <x:v>Initial stored GiB</x:v>
      </x:c>
      <x:c r="L4" s="27" t="str">
        <x:v>Initial index GiB</x:v>
      </x:c>
      <x:c r="M4" s="27" t="str">
        <x:v>Notes</x:v>
      </x:c>
    </x:row>
    <x:row r="5">
      <x:c r="A5" s="80" t="str"/>
      <x:c r="B5" s="82" t="n">
        <x:v>0</x:v>
      </x:c>
      <x:c r="C5" s="82" t="n">
        <x:v>0</x:v>
      </x:c>
      <x:c r="D5" s="82" t="n">
        <x:v>0</x:v>
      </x:c>
      <x:c r="E5" s="82" t="n">
        <x:v>0</x:v>
      </x:c>
      <x:c r="F5" s="81" t="n">
        <x:v>0.25</x:v>
      </x:c>
      <x:c r="G5" s="81" t="n">
        <x:v>0.2</x:v>
      </x:c>
      <x:c r="H5" s="81" t="n">
        <x:v>1</x:v>
      </x:c>
      <x:c r="I5" s="82" t="n">
        <x:v>0</x:v>
      </x:c>
      <x:c r="J5" s="87" t="n">
        <x:f>B5*C5/1073741824</x:f>
        <x:v>0</x:v>
      </x:c>
      <x:c r="K5" s="87" t="n">
        <x:f>B5*E5/1073741824</x:f>
        <x:v>0</x:v>
      </x:c>
      <x:c r="L5" s="87" t="n">
        <x:f>K5*F5</x:f>
        <x:v>0</x:v>
      </x:c>
      <x:c r="M5" s="80" t="str"/>
    </x:row>
    <x:row r="6">
      <x:c r="A6" s="80" t="str"/>
      <x:c r="B6" s="82" t="n">
        <x:v>0</x:v>
      </x:c>
      <x:c r="C6" s="82" t="n">
        <x:v>0</x:v>
      </x:c>
      <x:c r="D6" s="82" t="n">
        <x:v>0</x:v>
      </x:c>
      <x:c r="E6" s="82" t="n">
        <x:v>0</x:v>
      </x:c>
      <x:c r="F6" s="81" t="n">
        <x:v>0.25</x:v>
      </x:c>
      <x:c r="G6" s="81" t="n">
        <x:v>0.2</x:v>
      </x:c>
      <x:c r="H6" s="81" t="n">
        <x:v>1</x:v>
      </x:c>
      <x:c r="I6" s="82" t="n">
        <x:v>0</x:v>
      </x:c>
      <x:c r="J6" s="87" t="n">
        <x:f>B6*C6/1073741824</x:f>
        <x:v>0</x:v>
      </x:c>
      <x:c r="K6" s="87" t="n">
        <x:f>B6*E6/1073741824</x:f>
        <x:v>0</x:v>
      </x:c>
      <x:c r="L6" s="87" t="n">
        <x:f>K6*F6</x:f>
        <x:v>0</x:v>
      </x:c>
      <x:c r="M6" s="80" t="str"/>
    </x:row>
    <x:row r="7">
      <x:c r="A7" s="80" t="str"/>
      <x:c r="B7" s="82" t="n">
        <x:v>0</x:v>
      </x:c>
      <x:c r="C7" s="82" t="n">
        <x:v>0</x:v>
      </x:c>
      <x:c r="D7" s="82" t="n">
        <x:v>0</x:v>
      </x:c>
      <x:c r="E7" s="82" t="n">
        <x:v>0</x:v>
      </x:c>
      <x:c r="F7" s="81" t="n">
        <x:v>0.25</x:v>
      </x:c>
      <x:c r="G7" s="81" t="n">
        <x:v>0.2</x:v>
      </x:c>
      <x:c r="H7" s="81" t="n">
        <x:v>1</x:v>
      </x:c>
      <x:c r="I7" s="82" t="n">
        <x:v>0</x:v>
      </x:c>
      <x:c r="J7" s="87" t="n">
        <x:f>B7*C7/1073741824</x:f>
        <x:v>0</x:v>
      </x:c>
      <x:c r="K7" s="87" t="n">
        <x:f>B7*E7/1073741824</x:f>
        <x:v>0</x:v>
      </x:c>
      <x:c r="L7" s="87" t="n">
        <x:f>K7*F7</x:f>
        <x:v>0</x:v>
      </x:c>
      <x:c r="M7" s="80" t="str"/>
    </x:row>
    <x:row r="8">
      <x:c r="A8" s="80" t="str"/>
      <x:c r="B8" s="82" t="n">
        <x:v>0</x:v>
      </x:c>
      <x:c r="C8" s="82" t="n">
        <x:v>0</x:v>
      </x:c>
      <x:c r="D8" s="82" t="n">
        <x:v>0</x:v>
      </x:c>
      <x:c r="E8" s="82" t="n">
        <x:v>0</x:v>
      </x:c>
      <x:c r="F8" s="81" t="n">
        <x:v>0.25</x:v>
      </x:c>
      <x:c r="G8" s="81" t="n">
        <x:v>0.2</x:v>
      </x:c>
      <x:c r="H8" s="81" t="n">
        <x:v>1</x:v>
      </x:c>
      <x:c r="I8" s="82" t="n">
        <x:v>0</x:v>
      </x:c>
      <x:c r="J8" s="87" t="n">
        <x:f>B8*C8/1073741824</x:f>
        <x:v>0</x:v>
      </x:c>
      <x:c r="K8" s="87" t="n">
        <x:f>B8*E8/1073741824</x:f>
        <x:v>0</x:v>
      </x:c>
      <x:c r="L8" s="87" t="n">
        <x:f>K8*F8</x:f>
        <x:v>0</x:v>
      </x:c>
      <x:c r="M8" s="80" t="str"/>
    </x:row>
    <x:row r="9">
      <x:c r="A9" s="80" t="str"/>
      <x:c r="B9" s="82" t="n">
        <x:v>0</x:v>
      </x:c>
      <x:c r="C9" s="82" t="n">
        <x:v>0</x:v>
      </x:c>
      <x:c r="D9" s="82" t="n">
        <x:v>0</x:v>
      </x:c>
      <x:c r="E9" s="82" t="n">
        <x:v>0</x:v>
      </x:c>
      <x:c r="F9" s="81" t="n">
        <x:v>0.25</x:v>
      </x:c>
      <x:c r="G9" s="81" t="n">
        <x:v>0.2</x:v>
      </x:c>
      <x:c r="H9" s="81" t="n">
        <x:v>1</x:v>
      </x:c>
      <x:c r="I9" s="82" t="n">
        <x:v>0</x:v>
      </x:c>
      <x:c r="J9" s="87" t="n">
        <x:f>B9*C9/1073741824</x:f>
        <x:v>0</x:v>
      </x:c>
      <x:c r="K9" s="87" t="n">
        <x:f>B9*E9/1073741824</x:f>
        <x:v>0</x:v>
      </x:c>
      <x:c r="L9" s="87" t="n">
        <x:f>K9*F9</x:f>
        <x:v>0</x:v>
      </x:c>
      <x:c r="M9" s="80" t="str"/>
    </x:row>
    <x:row r="10">
      <x:c r="A10" s="80" t="str"/>
      <x:c r="B10" s="82" t="n">
        <x:v>0</x:v>
      </x:c>
      <x:c r="C10" s="82" t="n">
        <x:v>0</x:v>
      </x:c>
      <x:c r="D10" s="82" t="n">
        <x:v>0</x:v>
      </x:c>
      <x:c r="E10" s="82" t="n">
        <x:v>0</x:v>
      </x:c>
      <x:c r="F10" s="81" t="n">
        <x:v>0.25</x:v>
      </x:c>
      <x:c r="G10" s="81" t="n">
        <x:v>0.2</x:v>
      </x:c>
      <x:c r="H10" s="81" t="n">
        <x:v>1</x:v>
      </x:c>
      <x:c r="I10" s="82" t="n">
        <x:v>0</x:v>
      </x:c>
      <x:c r="J10" s="87" t="n">
        <x:f>B10*C10/1073741824</x:f>
        <x:v>0</x:v>
      </x:c>
      <x:c r="K10" s="87" t="n">
        <x:f>B10*E10/1073741824</x:f>
        <x:v>0</x:v>
      </x:c>
      <x:c r="L10" s="87" t="n">
        <x:f>K10*F10</x:f>
        <x:v>0</x:v>
      </x:c>
      <x:c r="M10" s="80" t="str"/>
    </x:row>
    <x:row r="11">
      <x:c r="A11" s="80" t="str"/>
      <x:c r="B11" s="82" t="n">
        <x:v>0</x:v>
      </x:c>
      <x:c r="C11" s="82" t="n">
        <x:v>0</x:v>
      </x:c>
      <x:c r="D11" s="82" t="n">
        <x:v>0</x:v>
      </x:c>
      <x:c r="E11" s="82" t="n">
        <x:v>0</x:v>
      </x:c>
      <x:c r="F11" s="81" t="n">
        <x:v>0.25</x:v>
      </x:c>
      <x:c r="G11" s="81" t="n">
        <x:v>0.2</x:v>
      </x:c>
      <x:c r="H11" s="81" t="n">
        <x:v>1</x:v>
      </x:c>
      <x:c r="I11" s="82" t="n">
        <x:v>0</x:v>
      </x:c>
      <x:c r="J11" s="87" t="n">
        <x:f>B11*C11/1073741824</x:f>
        <x:v>0</x:v>
      </x:c>
      <x:c r="K11" s="87" t="n">
        <x:f>B11*E11/1073741824</x:f>
        <x:v>0</x:v>
      </x:c>
      <x:c r="L11" s="87" t="n">
        <x:f>K11*F11</x:f>
        <x:v>0</x:v>
      </x:c>
      <x:c r="M11" s="80" t="str"/>
    </x:row>
    <x:row r="12">
      <x:c r="A12" s="80" t="str"/>
      <x:c r="B12" s="82" t="n">
        <x:v>0</x:v>
      </x:c>
      <x:c r="C12" s="82" t="n">
        <x:v>0</x:v>
      </x:c>
      <x:c r="D12" s="82" t="n">
        <x:v>0</x:v>
      </x:c>
      <x:c r="E12" s="82" t="n">
        <x:v>0</x:v>
      </x:c>
      <x:c r="F12" s="81" t="n">
        <x:v>0.25</x:v>
      </x:c>
      <x:c r="G12" s="81" t="n">
        <x:v>0.2</x:v>
      </x:c>
      <x:c r="H12" s="81" t="n">
        <x:v>1</x:v>
      </x:c>
      <x:c r="I12" s="82" t="n">
        <x:v>0</x:v>
      </x:c>
      <x:c r="J12" s="87" t="n">
        <x:f>B12*C12/1073741824</x:f>
        <x:v>0</x:v>
      </x:c>
      <x:c r="K12" s="87" t="n">
        <x:f>B12*E12/1073741824</x:f>
        <x:v>0</x:v>
      </x:c>
      <x:c r="L12" s="87" t="n">
        <x:f>K12*F12</x:f>
        <x:v>0</x:v>
      </x:c>
      <x:c r="M12" s="80" t="str"/>
    </x:row>
    <x:row r="13">
      <x:c r="A13" s="80" t="str"/>
      <x:c r="B13" s="82" t="n">
        <x:v>0</x:v>
      </x:c>
      <x:c r="C13" s="82" t="n">
        <x:v>0</x:v>
      </x:c>
      <x:c r="D13" s="82" t="n">
        <x:v>0</x:v>
      </x:c>
      <x:c r="E13" s="82" t="n">
        <x:v>0</x:v>
      </x:c>
      <x:c r="F13" s="81" t="n">
        <x:v>0.25</x:v>
      </x:c>
      <x:c r="G13" s="81" t="n">
        <x:v>0.2</x:v>
      </x:c>
      <x:c r="H13" s="81" t="n">
        <x:v>1</x:v>
      </x:c>
      <x:c r="I13" s="82" t="n">
        <x:v>0</x:v>
      </x:c>
      <x:c r="J13" s="87" t="n">
        <x:f>B13*C13/1073741824</x:f>
        <x:v>0</x:v>
      </x:c>
      <x:c r="K13" s="87" t="n">
        <x:f>B13*E13/1073741824</x:f>
        <x:v>0</x:v>
      </x:c>
      <x:c r="L13" s="87" t="n">
        <x:f>K13*F13</x:f>
        <x:v>0</x:v>
      </x:c>
      <x:c r="M13" s="80" t="str"/>
    </x:row>
    <x:row r="14">
      <x:c r="A14" s="80" t="str"/>
      <x:c r="B14" s="82" t="n">
        <x:v>0</x:v>
      </x:c>
      <x:c r="C14" s="82" t="n">
        <x:v>0</x:v>
      </x:c>
      <x:c r="D14" s="82" t="n">
        <x:v>0</x:v>
      </x:c>
      <x:c r="E14" s="82" t="n">
        <x:v>0</x:v>
      </x:c>
      <x:c r="F14" s="81" t="n">
        <x:v>0.25</x:v>
      </x:c>
      <x:c r="G14" s="81" t="n">
        <x:v>0.2</x:v>
      </x:c>
      <x:c r="H14" s="81" t="n">
        <x:v>1</x:v>
      </x:c>
      <x:c r="I14" s="82" t="n">
        <x:v>0</x:v>
      </x:c>
      <x:c r="J14" s="87" t="n">
        <x:f>B14*C14/1073741824</x:f>
        <x:v>0</x:v>
      </x:c>
      <x:c r="K14" s="87" t="n">
        <x:f>B14*E14/1073741824</x:f>
        <x:v>0</x:v>
      </x:c>
      <x:c r="L14" s="87" t="n">
        <x:f>K14*F14</x:f>
        <x:v>0</x:v>
      </x:c>
      <x:c r="M14" s="80" t="str"/>
    </x:row>
    <x:row r="15">
      <x:c r="A15" s="80" t="str"/>
      <x:c r="B15" s="82" t="n">
        <x:v>0</x:v>
      </x:c>
      <x:c r="C15" s="82" t="n">
        <x:v>0</x:v>
      </x:c>
      <x:c r="D15" s="82" t="n">
        <x:v>0</x:v>
      </x:c>
      <x:c r="E15" s="82" t="n">
        <x:v>0</x:v>
      </x:c>
      <x:c r="F15" s="81" t="n">
        <x:v>0.25</x:v>
      </x:c>
      <x:c r="G15" s="81" t="n">
        <x:v>0.2</x:v>
      </x:c>
      <x:c r="H15" s="81" t="n">
        <x:v>1</x:v>
      </x:c>
      <x:c r="I15" s="82" t="n">
        <x:v>0</x:v>
      </x:c>
      <x:c r="J15" s="87" t="n">
        <x:f>B15*C15/1073741824</x:f>
        <x:v>0</x:v>
      </x:c>
      <x:c r="K15" s="87" t="n">
        <x:f>B15*E15/1073741824</x:f>
        <x:v>0</x:v>
      </x:c>
      <x:c r="L15" s="87" t="n">
        <x:f>K15*F15</x:f>
        <x:v>0</x:v>
      </x:c>
      <x:c r="M15" s="80" t="str"/>
    </x:row>
    <x:row r="16">
      <x:c r="A16" s="80" t="str"/>
      <x:c r="B16" s="82" t="n">
        <x:v>0</x:v>
      </x:c>
      <x:c r="C16" s="82" t="n">
        <x:v>0</x:v>
      </x:c>
      <x:c r="D16" s="82" t="n">
        <x:v>0</x:v>
      </x:c>
      <x:c r="E16" s="82" t="n">
        <x:v>0</x:v>
      </x:c>
      <x:c r="F16" s="81" t="n">
        <x:v>0.25</x:v>
      </x:c>
      <x:c r="G16" s="81" t="n">
        <x:v>0.2</x:v>
      </x:c>
      <x:c r="H16" s="81" t="n">
        <x:v>1</x:v>
      </x:c>
      <x:c r="I16" s="82" t="n">
        <x:v>0</x:v>
      </x:c>
      <x:c r="J16" s="87" t="n">
        <x:f>B16*C16/1073741824</x:f>
        <x:v>0</x:v>
      </x:c>
      <x:c r="K16" s="87" t="n">
        <x:f>B16*E16/1073741824</x:f>
        <x:v>0</x:v>
      </x:c>
      <x:c r="L16" s="87" t="n">
        <x:f>K16*F16</x:f>
        <x:v>0</x:v>
      </x:c>
      <x:c r="M16" s="80" t="str"/>
    </x:row>
    <x:row r="17">
      <x:c r="A17" s="80" t="str"/>
      <x:c r="B17" s="82" t="n">
        <x:v>0</x:v>
      </x:c>
      <x:c r="C17" s="82" t="n">
        <x:v>0</x:v>
      </x:c>
      <x:c r="D17" s="82" t="n">
        <x:v>0</x:v>
      </x:c>
      <x:c r="E17" s="82" t="n">
        <x:v>0</x:v>
      </x:c>
      <x:c r="F17" s="81" t="n">
        <x:v>0.25</x:v>
      </x:c>
      <x:c r="G17" s="81" t="n">
        <x:v>0.2</x:v>
      </x:c>
      <x:c r="H17" s="81" t="n">
        <x:v>1</x:v>
      </x:c>
      <x:c r="I17" s="82" t="n">
        <x:v>0</x:v>
      </x:c>
      <x:c r="J17" s="87" t="n">
        <x:f>B17*C17/1073741824</x:f>
        <x:v>0</x:v>
      </x:c>
      <x:c r="K17" s="87" t="n">
        <x:f>B17*E17/1073741824</x:f>
        <x:v>0</x:v>
      </x:c>
      <x:c r="L17" s="87" t="n">
        <x:f>K17*F17</x:f>
        <x:v>0</x:v>
      </x:c>
      <x:c r="M17" s="80" t="str"/>
    </x:row>
    <x:row r="18">
      <x:c r="A18" s="80" t="str"/>
      <x:c r="B18" s="82" t="n">
        <x:v>0</x:v>
      </x:c>
      <x:c r="C18" s="82" t="n">
        <x:v>0</x:v>
      </x:c>
      <x:c r="D18" s="82" t="n">
        <x:v>0</x:v>
      </x:c>
      <x:c r="E18" s="82" t="n">
        <x:v>0</x:v>
      </x:c>
      <x:c r="F18" s="81" t="n">
        <x:v>0.25</x:v>
      </x:c>
      <x:c r="G18" s="81" t="n">
        <x:v>0.2</x:v>
      </x:c>
      <x:c r="H18" s="81" t="n">
        <x:v>1</x:v>
      </x:c>
      <x:c r="I18" s="82" t="n">
        <x:v>0</x:v>
      </x:c>
      <x:c r="J18" s="87" t="n">
        <x:f>B18*C18/1073741824</x:f>
        <x:v>0</x:v>
      </x:c>
      <x:c r="K18" s="87" t="n">
        <x:f>B18*E18/1073741824</x:f>
        <x:v>0</x:v>
      </x:c>
      <x:c r="L18" s="87" t="n">
        <x:f>K18*F18</x:f>
        <x:v>0</x:v>
      </x:c>
      <x:c r="M18" s="80" t="str"/>
    </x:row>
    <x:row r="19">
      <x:c r="A19" s="80" t="str"/>
      <x:c r="B19" s="82" t="n">
        <x:v>0</x:v>
      </x:c>
      <x:c r="C19" s="82" t="n">
        <x:v>0</x:v>
      </x:c>
      <x:c r="D19" s="82" t="n">
        <x:v>0</x:v>
      </x:c>
      <x:c r="E19" s="82" t="n">
        <x:v>0</x:v>
      </x:c>
      <x:c r="F19" s="81" t="n">
        <x:v>0.25</x:v>
      </x:c>
      <x:c r="G19" s="81" t="n">
        <x:v>0.2</x:v>
      </x:c>
      <x:c r="H19" s="81" t="n">
        <x:v>1</x:v>
      </x:c>
      <x:c r="I19" s="82" t="n">
        <x:v>0</x:v>
      </x:c>
      <x:c r="J19" s="87" t="n">
        <x:f>B19*C19/1073741824</x:f>
        <x:v>0</x:v>
      </x:c>
      <x:c r="K19" s="87" t="n">
        <x:f>B19*E19/1073741824</x:f>
        <x:v>0</x:v>
      </x:c>
      <x:c r="L19" s="87" t="n">
        <x:f>K19*F19</x:f>
        <x:v>0</x:v>
      </x:c>
      <x:c r="M19" s="80" t="str"/>
    </x:row>
    <x:row r="20">
      <x:c r="A20" s="80" t="str"/>
      <x:c r="B20" s="82" t="n">
        <x:v>0</x:v>
      </x:c>
      <x:c r="C20" s="82" t="n">
        <x:v>0</x:v>
      </x:c>
      <x:c r="D20" s="82" t="n">
        <x:v>0</x:v>
      </x:c>
      <x:c r="E20" s="82" t="n">
        <x:v>0</x:v>
      </x:c>
      <x:c r="F20" s="81" t="n">
        <x:v>0.25</x:v>
      </x:c>
      <x:c r="G20" s="81" t="n">
        <x:v>0.2</x:v>
      </x:c>
      <x:c r="H20" s="81" t="n">
        <x:v>1</x:v>
      </x:c>
      <x:c r="I20" s="82" t="n">
        <x:v>0</x:v>
      </x:c>
      <x:c r="J20" s="87" t="n">
        <x:f>B20*C20/1073741824</x:f>
        <x:v>0</x:v>
      </x:c>
      <x:c r="K20" s="87" t="n">
        <x:f>B20*E20/1073741824</x:f>
        <x:v>0</x:v>
      </x:c>
      <x:c r="L20" s="87" t="n">
        <x:f>K20*F20</x:f>
        <x:v>0</x:v>
      </x:c>
      <x:c r="M20" s="80" t="str"/>
    </x:row>
    <x:row r="21">
      <x:c r="A21" s="80" t="str"/>
      <x:c r="B21" s="82" t="n">
        <x:v>0</x:v>
      </x:c>
      <x:c r="C21" s="82" t="n">
        <x:v>0</x:v>
      </x:c>
      <x:c r="D21" s="82" t="n">
        <x:v>0</x:v>
      </x:c>
      <x:c r="E21" s="82" t="n">
        <x:v>0</x:v>
      </x:c>
      <x:c r="F21" s="81" t="n">
        <x:v>0.25</x:v>
      </x:c>
      <x:c r="G21" s="81" t="n">
        <x:v>0.2</x:v>
      </x:c>
      <x:c r="H21" s="81" t="n">
        <x:v>1</x:v>
      </x:c>
      <x:c r="I21" s="82" t="n">
        <x:v>0</x:v>
      </x:c>
      <x:c r="J21" s="87" t="n">
        <x:f>B21*C21/1073741824</x:f>
        <x:v>0</x:v>
      </x:c>
      <x:c r="K21" s="87" t="n">
        <x:f>B21*E21/1073741824</x:f>
        <x:v>0</x:v>
      </x:c>
      <x:c r="L21" s="87" t="n">
        <x:f>K21*F21</x:f>
        <x:v>0</x:v>
      </x:c>
      <x:c r="M21" s="80" t="str"/>
    </x:row>
    <x:row r="22">
      <x:c r="A22" s="80" t="str"/>
      <x:c r="B22" s="82" t="n">
        <x:v>0</x:v>
      </x:c>
      <x:c r="C22" s="82" t="n">
        <x:v>0</x:v>
      </x:c>
      <x:c r="D22" s="82" t="n">
        <x:v>0</x:v>
      </x:c>
      <x:c r="E22" s="82" t="n">
        <x:v>0</x:v>
      </x:c>
      <x:c r="F22" s="81" t="n">
        <x:v>0.25</x:v>
      </x:c>
      <x:c r="G22" s="81" t="n">
        <x:v>0.2</x:v>
      </x:c>
      <x:c r="H22" s="81" t="n">
        <x:v>1</x:v>
      </x:c>
      <x:c r="I22" s="82" t="n">
        <x:v>0</x:v>
      </x:c>
      <x:c r="J22" s="87" t="n">
        <x:f>B22*C22/1073741824</x:f>
        <x:v>0</x:v>
      </x:c>
      <x:c r="K22" s="87" t="n">
        <x:f>B22*E22/1073741824</x:f>
        <x:v>0</x:v>
      </x:c>
      <x:c r="L22" s="87" t="n">
        <x:f>K22*F22</x:f>
        <x:v>0</x:v>
      </x:c>
      <x:c r="M22" s="80" t="str"/>
    </x:row>
    <x:row r="23">
      <x:c r="A23" s="80" t="str"/>
      <x:c r="B23" s="82" t="n">
        <x:v>0</x:v>
      </x:c>
      <x:c r="C23" s="82" t="n">
        <x:v>0</x:v>
      </x:c>
      <x:c r="D23" s="82" t="n">
        <x:v>0</x:v>
      </x:c>
      <x:c r="E23" s="82" t="n">
        <x:v>0</x:v>
      </x:c>
      <x:c r="F23" s="81" t="n">
        <x:v>0.25</x:v>
      </x:c>
      <x:c r="G23" s="81" t="n">
        <x:v>0.2</x:v>
      </x:c>
      <x:c r="H23" s="81" t="n">
        <x:v>1</x:v>
      </x:c>
      <x:c r="I23" s="82" t="n">
        <x:v>0</x:v>
      </x:c>
      <x:c r="J23" s="87" t="n">
        <x:f>B23*C23/1073741824</x:f>
        <x:v>0</x:v>
      </x:c>
      <x:c r="K23" s="87" t="n">
        <x:f>B23*E23/1073741824</x:f>
        <x:v>0</x:v>
      </x:c>
      <x:c r="L23" s="87" t="n">
        <x:f>K23*F23</x:f>
        <x:v>0</x:v>
      </x:c>
      <x:c r="M23" s="80" t="str"/>
    </x:row>
    <x:row r="24">
      <x:c r="A24" s="80" t="str"/>
      <x:c r="B24" s="82" t="n">
        <x:v>0</x:v>
      </x:c>
      <x:c r="C24" s="82" t="n">
        <x:v>0</x:v>
      </x:c>
      <x:c r="D24" s="82" t="n">
        <x:v>0</x:v>
      </x:c>
      <x:c r="E24" s="82" t="n">
        <x:v>0</x:v>
      </x:c>
      <x:c r="F24" s="81" t="n">
        <x:v>0.25</x:v>
      </x:c>
      <x:c r="G24" s="81" t="n">
        <x:v>0.2</x:v>
      </x:c>
      <x:c r="H24" s="81" t="n">
        <x:v>1</x:v>
      </x:c>
      <x:c r="I24" s="82" t="n">
        <x:v>0</x:v>
      </x:c>
      <x:c r="J24" s="87" t="n">
        <x:f>B24*C24/1073741824</x:f>
        <x:v>0</x:v>
      </x:c>
      <x:c r="K24" s="87" t="n">
        <x:f>B24*E24/1073741824</x:f>
        <x:v>0</x:v>
      </x:c>
      <x:c r="L24" s="87" t="n">
        <x:f>K24*F24</x:f>
        <x:v>0</x:v>
      </x:c>
      <x:c r="M24" s="80" t="str"/>
    </x:row>
    <x:row r="25">
      <x:c r="A25" s="80" t="str"/>
      <x:c r="B25" s="82" t="n">
        <x:v>0</x:v>
      </x:c>
      <x:c r="C25" s="82" t="n">
        <x:v>0</x:v>
      </x:c>
      <x:c r="D25" s="82" t="n">
        <x:v>0</x:v>
      </x:c>
      <x:c r="E25" s="82" t="n">
        <x:v>0</x:v>
      </x:c>
      <x:c r="F25" s="81" t="n">
        <x:v>0.25</x:v>
      </x:c>
      <x:c r="G25" s="81" t="n">
        <x:v>0.2</x:v>
      </x:c>
      <x:c r="H25" s="81" t="n">
        <x:v>1</x:v>
      </x:c>
      <x:c r="I25" s="82" t="n">
        <x:v>0</x:v>
      </x:c>
      <x:c r="J25" s="87" t="n">
        <x:f>B25*C25/1073741824</x:f>
        <x:v>0</x:v>
      </x:c>
      <x:c r="K25" s="87" t="n">
        <x:f>B25*E25/1073741824</x:f>
        <x:v>0</x:v>
      </x:c>
      <x:c r="L25" s="87" t="n">
        <x:f>K25*F25</x:f>
        <x:v>0</x:v>
      </x:c>
      <x:c r="M25" s="80" t="str"/>
    </x:row>
    <x:row r="26">
      <x:c r="A26" s="80" t="str"/>
      <x:c r="B26" s="82" t="n">
        <x:v>0</x:v>
      </x:c>
      <x:c r="C26" s="82" t="n">
        <x:v>0</x:v>
      </x:c>
      <x:c r="D26" s="82" t="n">
        <x:v>0</x:v>
      </x:c>
      <x:c r="E26" s="82" t="n">
        <x:v>0</x:v>
      </x:c>
      <x:c r="F26" s="81" t="n">
        <x:v>0.25</x:v>
      </x:c>
      <x:c r="G26" s="81" t="n">
        <x:v>0.2</x:v>
      </x:c>
      <x:c r="H26" s="81" t="n">
        <x:v>1</x:v>
      </x:c>
      <x:c r="I26" s="82" t="n">
        <x:v>0</x:v>
      </x:c>
      <x:c r="J26" s="87" t="n">
        <x:f>B26*C26/1073741824</x:f>
        <x:v>0</x:v>
      </x:c>
      <x:c r="K26" s="87" t="n">
        <x:f>B26*E26/1073741824</x:f>
        <x:v>0</x:v>
      </x:c>
      <x:c r="L26" s="87" t="n">
        <x:f>K26*F26</x:f>
        <x:v>0</x:v>
      </x:c>
      <x:c r="M26" s="80" t="str"/>
    </x:row>
    <x:row r="27">
      <x:c r="A27" s="80" t="str"/>
      <x:c r="B27" s="82" t="n">
        <x:v>0</x:v>
      </x:c>
      <x:c r="C27" s="82" t="n">
        <x:v>0</x:v>
      </x:c>
      <x:c r="D27" s="82" t="n">
        <x:v>0</x:v>
      </x:c>
      <x:c r="E27" s="82" t="n">
        <x:v>0</x:v>
      </x:c>
      <x:c r="F27" s="81" t="n">
        <x:v>0.25</x:v>
      </x:c>
      <x:c r="G27" s="81" t="n">
        <x:v>0.2</x:v>
      </x:c>
      <x:c r="H27" s="81" t="n">
        <x:v>1</x:v>
      </x:c>
      <x:c r="I27" s="82" t="n">
        <x:v>0</x:v>
      </x:c>
      <x:c r="J27" s="87" t="n">
        <x:f>B27*C27/1073741824</x:f>
        <x:v>0</x:v>
      </x:c>
      <x:c r="K27" s="87" t="n">
        <x:f>B27*E27/1073741824</x:f>
        <x:v>0</x:v>
      </x:c>
      <x:c r="L27" s="87" t="n">
        <x:f>K27*F27</x:f>
        <x:v>0</x:v>
      </x:c>
      <x:c r="M27" s="80" t="str"/>
    </x:row>
    <x:row r="28">
      <x:c r="A28" s="80" t="str"/>
      <x:c r="B28" s="82" t="n">
        <x:v>0</x:v>
      </x:c>
      <x:c r="C28" s="82" t="n">
        <x:v>0</x:v>
      </x:c>
      <x:c r="D28" s="82" t="n">
        <x:v>0</x:v>
      </x:c>
      <x:c r="E28" s="82" t="n">
        <x:v>0</x:v>
      </x:c>
      <x:c r="F28" s="81" t="n">
        <x:v>0.25</x:v>
      </x:c>
      <x:c r="G28" s="81" t="n">
        <x:v>0.2</x:v>
      </x:c>
      <x:c r="H28" s="81" t="n">
        <x:v>1</x:v>
      </x:c>
      <x:c r="I28" s="82" t="n">
        <x:v>0</x:v>
      </x:c>
      <x:c r="J28" s="87" t="n">
        <x:f>B28*C28/1073741824</x:f>
        <x:v>0</x:v>
      </x:c>
      <x:c r="K28" s="87" t="n">
        <x:f>B28*E28/1073741824</x:f>
        <x:v>0</x:v>
      </x:c>
      <x:c r="L28" s="87" t="n">
        <x:f>K28*F28</x:f>
        <x:v>0</x:v>
      </x:c>
      <x:c r="M28" s="80" t="str"/>
    </x:row>
    <x:row r="29">
      <x:c r="A29" s="80" t="str"/>
      <x:c r="B29" s="82" t="n">
        <x:v>0</x:v>
      </x:c>
      <x:c r="C29" s="82" t="n">
        <x:v>0</x:v>
      </x:c>
      <x:c r="D29" s="82" t="n">
        <x:v>0</x:v>
      </x:c>
      <x:c r="E29" s="82" t="n">
        <x:v>0</x:v>
      </x:c>
      <x:c r="F29" s="81" t="n">
        <x:v>0.25</x:v>
      </x:c>
      <x:c r="G29" s="81" t="n">
        <x:v>0.2</x:v>
      </x:c>
      <x:c r="H29" s="81" t="n">
        <x:v>1</x:v>
      </x:c>
      <x:c r="I29" s="82" t="n">
        <x:v>0</x:v>
      </x:c>
      <x:c r="J29" s="87" t="n">
        <x:f>B29*C29/1073741824</x:f>
        <x:v>0</x:v>
      </x:c>
      <x:c r="K29" s="87" t="n">
        <x:f>B29*E29/1073741824</x:f>
        <x:v>0</x:v>
      </x:c>
      <x:c r="L29" s="87" t="n">
        <x:f>K29*F29</x:f>
        <x:v>0</x:v>
      </x:c>
      <x:c r="M29" s="80" t="str"/>
    </x:row>
  </x:sheetData>
  <x:mergeCells>
    <x:mergeCell ref="A1: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2" hidden="0" customWidth="1"/>
  </x:cols>
  <x:sheetData>
    <x:row r="1" ht="30" customHeight="1">
      <x:c r="A1" s="66" t="str">
        <x:v>Five-Year Capacity Projection</x:v>
      </x:c>
      <x:c r="B1" s="66" t="str">
        <x:v>Five-Year Capacity Projection</x:v>
      </x:c>
      <x:c r="C1" s="66" t="str">
        <x:v>Five-Year Capacity Projection</x:v>
      </x:c>
      <x:c r="D1" s="66" t="str">
        <x:v>Five-Year Capacity Projection</x:v>
      </x:c>
      <x:c r="E1" s="66" t="str">
        <x:v>Five-Year Capacity Projection</x:v>
      </x:c>
      <x:c r="F1" s="66" t="str">
        <x:v>Five-Year Capacity Projection</x:v>
      </x:c>
      <x:c r="G1" s="66" t="str">
        <x:v>Five-Year Capacity Projection</x:v>
      </x:c>
      <x:c r="H1" s="66" t="str">
        <x:v>Five-Year Capacity Projection</x:v>
      </x:c>
    </x:row>
    <x:row r="2" ht="30" customHeight="1">
      <x:c r="A2" s="66" t="str">
        <x:v>Five-Year Capacity Projection</x:v>
      </x:c>
      <x:c r="B2" s="66" t="str">
        <x:v>Five-Year Capacity Projection</x:v>
      </x:c>
      <x:c r="C2" s="66" t="str">
        <x:v>Five-Year Capacity Projection</x:v>
      </x:c>
      <x:c r="D2" s="66" t="str">
        <x:v>Five-Year Capacity Projection</x:v>
      </x:c>
      <x:c r="E2" s="66" t="str">
        <x:v>Five-Year Capacity Projection</x:v>
      </x:c>
      <x:c r="F2" s="66" t="str">
        <x:v>Five-Year Capacity Projection</x:v>
      </x:c>
      <x:c r="G2" s="66" t="str">
        <x:v>Five-Year Capacity Projection</x:v>
      </x:c>
      <x:c r="H2" s="66" t="str">
        <x:v>Five-Year Capacity Projection</x:v>
      </x:c>
    </x:row>
    <x:row r="3">
      <x:c r="A3" s="67"/>
      <x:c r="B3" s="67"/>
      <x:c r="C3" s="67"/>
      <x:c r="D3" s="67"/>
      <x:c r="E3" s="67"/>
      <x:c r="F3" s="67"/>
      <x:c r="G3" s="67"/>
      <x:c r="H3" s="67"/>
    </x:row>
    <x:row r="4">
      <x:c r="A4" s="27" t="str">
        <x:v>Metric</x:v>
      </x:c>
      <x:c r="B4" s="88" t="n">
        <x:v>0</x:v>
      </x:c>
      <x:c r="C4" s="88" t="n">
        <x:v>1</x:v>
      </x:c>
      <x:c r="D4" s="88" t="n">
        <x:v>2</x:v>
      </x:c>
      <x:c r="E4" s="88" t="n">
        <x:v>3</x:v>
      </x:c>
      <x:c r="F4" s="88" t="n">
        <x:v>4</x:v>
      </x:c>
      <x:c r="G4" s="88" t="n">
        <x:v>5</x:v>
      </x:c>
      <x:c r="H4" s="27" t="str">
        <x:v>Unit</x:v>
      </x:c>
    </x:row>
    <x:row r="5">
      <x:c r="A5" s="78" t="str">
        <x:v>Projected logical data</x:v>
      </x:c>
      <x:c r="B5" s="87" t="n">
        <x:f>'Application Inputs'!C5</x:f>
        <x:v>0</x:v>
      </x:c>
      <x:c r="C5" s="87" t="n">
        <x:f>IF('Application Inputs'!$C$10="Compound",'Application Inputs'!$C$5*(1+'Application Inputs'!$C$9)^C$4,'Application Inputs'!$C$5+'Application Inputs'!$C$8*12*C$4)</x:f>
        <x:v>0</x:v>
      </x:c>
      <x:c r="D5" s="87" t="n">
        <x:f>IF('Application Inputs'!$C$10="Compound",'Application Inputs'!$C$5*(1+'Application Inputs'!$C$9)^D$4,'Application Inputs'!$C$5+'Application Inputs'!$C$8*12*D$4)</x:f>
        <x:v>0</x:v>
      </x:c>
      <x:c r="E5" s="87" t="n">
        <x:f>IF('Application Inputs'!$C$10="Compound",'Application Inputs'!$C$5*(1+'Application Inputs'!$C$9)^E$4,'Application Inputs'!$C$5+'Application Inputs'!$C$8*12*E$4)</x:f>
        <x:v>0</x:v>
      </x:c>
      <x:c r="F5" s="87" t="n">
        <x:f>IF('Application Inputs'!$C$10="Compound",'Application Inputs'!$C$5*(1+'Application Inputs'!$C$9)^F$4,'Application Inputs'!$C$5+'Application Inputs'!$C$8*12*F$4)</x:f>
        <x:v>0</x:v>
      </x:c>
      <x:c r="G5" s="87" t="n">
        <x:f>IF('Application Inputs'!$C$10="Compound",'Application Inputs'!$C$5*(1+'Application Inputs'!$C$9)^G$4,'Application Inputs'!$C$5+'Application Inputs'!$C$8*12*G$4)</x:f>
        <x:v>0</x:v>
      </x:c>
      <x:c r="H5" s="78" t="str">
        <x:v>GiB</x:v>
      </x:c>
    </x:row>
    <x:row r="6">
      <x:c r="A6" s="78" t="str">
        <x:v>Projected stored collection data</x:v>
      </x:c>
      <x:c r="B6" s="87" t="n">
        <x:f>IF(AND(B$4=0,'Application Inputs'!$C$6&gt;0),'Application Inputs'!$C$6,B5*'Application Inputs'!$C$11)</x:f>
        <x:v>0</x:v>
      </x:c>
      <x:c r="C6" s="87" t="n">
        <x:f>IF(AND(C$4=0,'Application Inputs'!$C$6&gt;0),'Application Inputs'!$C$6,C5*'Application Inputs'!$C$11)</x:f>
        <x:v>0</x:v>
      </x:c>
      <x:c r="D6" s="87" t="n">
        <x:f>IF(AND(D$4=0,'Application Inputs'!$C$6&gt;0),'Application Inputs'!$C$6,D5*'Application Inputs'!$C$11)</x:f>
        <x:v>0</x:v>
      </x:c>
      <x:c r="E6" s="87" t="n">
        <x:f>IF(AND(E$4=0,'Application Inputs'!$C$6&gt;0),'Application Inputs'!$C$6,E5*'Application Inputs'!$C$11)</x:f>
        <x:v>0</x:v>
      </x:c>
      <x:c r="F6" s="87" t="n">
        <x:f>IF(AND(F$4=0,'Application Inputs'!$C$6&gt;0),'Application Inputs'!$C$6,F5*'Application Inputs'!$C$11)</x:f>
        <x:v>0</x:v>
      </x:c>
      <x:c r="G6" s="87" t="n">
        <x:f>IF(AND(G$4=0,'Application Inputs'!$C$6&gt;0),'Application Inputs'!$C$6,G5*'Application Inputs'!$C$11)</x:f>
        <x:v>0</x:v>
      </x:c>
      <x:c r="H6" s="78" t="str">
        <x:v>GiB</x:v>
      </x:c>
    </x:row>
    <x:row r="7">
      <x:c r="A7" s="78" t="str">
        <x:v>Projected index data</x:v>
      </x:c>
      <x:c r="B7" s="87" t="n">
        <x:f>IF(AND(B$4=0,'Application Inputs'!$C$7&gt;0),'Application Inputs'!$C$7,B6*'Application Inputs'!$C$12)</x:f>
        <x:v>0</x:v>
      </x:c>
      <x:c r="C7" s="87" t="n">
        <x:f>IF(AND(C$4=0,'Application Inputs'!$C$7&gt;0),'Application Inputs'!$C$7,C6*'Application Inputs'!$C$12)</x:f>
        <x:v>0</x:v>
      </x:c>
      <x:c r="D7" s="87" t="n">
        <x:f>IF(AND(D$4=0,'Application Inputs'!$C$7&gt;0),'Application Inputs'!$C$7,D6*'Application Inputs'!$C$12)</x:f>
        <x:v>0</x:v>
      </x:c>
      <x:c r="E7" s="87" t="n">
        <x:f>IF(AND(E$4=0,'Application Inputs'!$C$7&gt;0),'Application Inputs'!$C$7,E6*'Application Inputs'!$C$12)</x:f>
        <x:v>0</x:v>
      </x:c>
      <x:c r="F7" s="87" t="n">
        <x:f>IF(AND(F$4=0,'Application Inputs'!$C$7&gt;0),'Application Inputs'!$C$7,F6*'Application Inputs'!$C$12)</x:f>
        <x:v>0</x:v>
      </x:c>
      <x:c r="G7" s="87" t="n">
        <x:f>IF(AND(G$4=0,'Application Inputs'!$C$7&gt;0),'Application Inputs'!$C$7,G6*'Application Inputs'!$C$12)</x:f>
        <x:v>0</x:v>
      </x:c>
      <x:c r="H7" s="78" t="str">
        <x:v>GiB</x:v>
      </x:c>
    </x:row>
    <x:row r="8">
      <x:c r="A8" s="78" t="str">
        <x:v>Hot collection working set</x:v>
      </x:c>
      <x:c r="B8" s="87" t="n">
        <x:f>B6*'Application Inputs'!$C$13</x:f>
        <x:v>0</x:v>
      </x:c>
      <x:c r="C8" s="87" t="n">
        <x:f>C6*'Application Inputs'!$C$13</x:f>
        <x:v>0</x:v>
      </x:c>
      <x:c r="D8" s="87" t="n">
        <x:f>D6*'Application Inputs'!$C$13</x:f>
        <x:v>0</x:v>
      </x:c>
      <x:c r="E8" s="87" t="n">
        <x:f>E6*'Application Inputs'!$C$13</x:f>
        <x:v>0</x:v>
      </x:c>
      <x:c r="F8" s="87" t="n">
        <x:f>F6*'Application Inputs'!$C$13</x:f>
        <x:v>0</x:v>
      </x:c>
      <x:c r="G8" s="87" t="n">
        <x:f>G6*'Application Inputs'!$C$13</x:f>
        <x:v>0</x:v>
      </x:c>
      <x:c r="H8" s="78" t="str">
        <x:v>GiB</x:v>
      </x:c>
    </x:row>
    <x:row r="9">
      <x:c r="A9" s="78" t="str">
        <x:v>Hot index working set</x:v>
      </x:c>
      <x:c r="B9" s="87" t="n">
        <x:f>B7*'Application Inputs'!$C$14</x:f>
        <x:v>0</x:v>
      </x:c>
      <x:c r="C9" s="87" t="n">
        <x:f>C7*'Application Inputs'!$C$14</x:f>
        <x:v>0</x:v>
      </x:c>
      <x:c r="D9" s="87" t="n">
        <x:f>D7*'Application Inputs'!$C$14</x:f>
        <x:v>0</x:v>
      </x:c>
      <x:c r="E9" s="87" t="n">
        <x:f>E7*'Application Inputs'!$C$14</x:f>
        <x:v>0</x:v>
      </x:c>
      <x:c r="F9" s="87" t="n">
        <x:f>F7*'Application Inputs'!$C$14</x:f>
        <x:v>0</x:v>
      </x:c>
      <x:c r="G9" s="87" t="n">
        <x:f>G7*'Application Inputs'!$C$14</x:f>
        <x:v>0</x:v>
      </x:c>
      <x:c r="H9" s="78" t="str">
        <x:v>GiB</x:v>
      </x:c>
    </x:row>
    <x:row r="10">
      <x:c r="A10" s="78" t="str">
        <x:v>Total hot working set</x:v>
      </x:c>
      <x:c r="B10" s="87" t="n">
        <x:f>B8+B9</x:f>
        <x:v>0</x:v>
      </x:c>
      <x:c r="C10" s="87" t="n">
        <x:f>C8+C9</x:f>
        <x:v>0</x:v>
      </x:c>
      <x:c r="D10" s="87" t="n">
        <x:f>D8+D9</x:f>
        <x:v>0</x:v>
      </x:c>
      <x:c r="E10" s="87" t="n">
        <x:f>E8+E9</x:f>
        <x:v>0</x:v>
      </x:c>
      <x:c r="F10" s="87" t="n">
        <x:f>F8+F9</x:f>
        <x:v>0</x:v>
      </x:c>
      <x:c r="G10" s="87" t="n">
        <x:f>G8+G9</x:f>
        <x:v>0</x:v>
      </x:c>
      <x:c r="H10" s="78" t="str">
        <x:v>GiB</x:v>
      </x:c>
    </x:row>
    <x:row r="11">
      <x:c r="A11" s="78" t="str">
        <x:v>Required oplog capacity</x:v>
      </x:c>
      <x:c r="B11" s="87" t="n">
        <x:f>'Application Inputs'!$C$16*'Application Inputs'!$C$17*'Application Inputs'!$C$18</x:f>
        <x:v>0</x:v>
      </x:c>
      <x:c r="C11" s="87" t="n">
        <x:f>'Application Inputs'!$C$16*'Application Inputs'!$C$17*'Application Inputs'!$C$18</x:f>
        <x:v>0</x:v>
      </x:c>
      <x:c r="D11" s="87" t="n">
        <x:f>'Application Inputs'!$C$16*'Application Inputs'!$C$17*'Application Inputs'!$C$18</x:f>
        <x:v>0</x:v>
      </x:c>
      <x:c r="E11" s="87" t="n">
        <x:f>'Application Inputs'!$C$16*'Application Inputs'!$C$17*'Application Inputs'!$C$18</x:f>
        <x:v>0</x:v>
      </x:c>
      <x:c r="F11" s="87" t="n">
        <x:f>'Application Inputs'!$C$16*'Application Inputs'!$C$17*'Application Inputs'!$C$18</x:f>
        <x:v>0</x:v>
      </x:c>
      <x:c r="G11" s="87" t="n">
        <x:f>'Application Inputs'!$C$16*'Application Inputs'!$C$17*'Application Inputs'!$C$18</x:f>
        <x:v>0</x:v>
      </x:c>
      <x:c r="H11" s="78" t="str">
        <x:v>GiB</x:v>
      </x:c>
    </x:row>
    <x:row r="12">
      <x:c r="A12" s="78" t="str">
        <x:v>Required disk per node</x:v>
      </x:c>
      <x:c r="B12" s="87" t="n">
        <x:f>(B6+B7+B11+'Application Inputs'!$C$19)/(1-'Application Inputs'!$C$15)</x:f>
        <x:v>28.571428571428573</x:v>
      </x:c>
      <x:c r="C12" s="87" t="n">
        <x:f>(C6+C7+C11+'Application Inputs'!$C$19)/(1-'Application Inputs'!$C$15)</x:f>
        <x:v>28.571428571428573</x:v>
      </x:c>
      <x:c r="D12" s="87" t="n">
        <x:f>(D6+D7+D11+'Application Inputs'!$C$19)/(1-'Application Inputs'!$C$15)</x:f>
        <x:v>28.571428571428573</x:v>
      </x:c>
      <x:c r="E12" s="87" t="n">
        <x:f>(E6+E7+E11+'Application Inputs'!$C$19)/(1-'Application Inputs'!$C$15)</x:f>
        <x:v>28.571428571428573</x:v>
      </x:c>
      <x:c r="F12" s="87" t="n">
        <x:f>(F6+F7+F11+'Application Inputs'!$C$19)/(1-'Application Inputs'!$C$15)</x:f>
        <x:v>28.571428571428573</x:v>
      </x:c>
      <x:c r="G12" s="87" t="n">
        <x:f>(G6+G7+G11+'Application Inputs'!$C$19)/(1-'Application Inputs'!$C$15)</x:f>
        <x:v>28.571428571428573</x:v>
      </x:c>
      <x:c r="H12" s="78" t="str">
        <x:v>GiB</x:v>
      </x:c>
    </x:row>
    <x:row r="13">
      <x:c r="A13" s="67"/>
      <x:c r="B13" s="67"/>
      <x:c r="C13" s="67"/>
      <x:c r="D13" s="67"/>
      <x:c r="E13" s="67"/>
      <x:c r="F13" s="67"/>
      <x:c r="G13" s="67"/>
      <x:c r="H13" s="67"/>
    </x:row>
    <x:row r="14">
      <x:c r="A14" s="89" t="str">
        <x:v>The projection uses the selected growth model. Stored-data and index ratios remain constant unless the workbook is revised with measured values.</x:v>
      </x:c>
      <x:c r="B14" s="89"/>
      <x:c r="C14" s="89"/>
      <x:c r="D14" s="89"/>
      <x:c r="E14" s="89"/>
      <x:c r="F14" s="89"/>
      <x:c r="G14" s="89"/>
      <x:c r="H14" s="89"/>
    </x:row>
  </x:sheetData>
  <x:mergeCells>
    <x:mergeCell ref="A1:H2"/>
    <x:mergeCell ref="A14:H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3" hidden="0" customWidth="1"/>
    <x:col min="3" max="3" width="70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66" t="str">
        <x:v>Sizing Summary</x:v>
      </x:c>
      <x:c r="B1" s="66" t="str">
        <x:v>Sizing Summary</x:v>
      </x:c>
      <x:c r="C1" s="66" t="str">
        <x:v>Sizing Summary</x:v>
      </x:c>
      <x:c r="D1" s="66" t="str">
        <x:v>Sizing Summary</x:v>
      </x:c>
      <x:c r="E1" s="66" t="str">
        <x:v>Sizing Summary</x:v>
      </x:c>
      <x:c r="F1" s="66" t="str">
        <x:v>Sizing Summary</x:v>
      </x:c>
    </x:row>
    <x:row r="2" ht="30" customHeight="1">
      <x:c r="A2" s="66" t="str">
        <x:v>Sizing Summary</x:v>
      </x:c>
      <x:c r="B2" s="66" t="str">
        <x:v>Sizing Summary</x:v>
      </x:c>
      <x:c r="C2" s="66" t="str">
        <x:v>Sizing Summary</x:v>
      </x:c>
      <x:c r="D2" s="66" t="str">
        <x:v>Sizing Summary</x:v>
      </x:c>
      <x:c r="E2" s="66" t="str">
        <x:v>Sizing Summary</x:v>
      </x:c>
      <x:c r="F2" s="66" t="str">
        <x:v>Sizing Summary</x:v>
      </x:c>
    </x:row>
    <x:row r="3">
      <x:c r="A3" s="67"/>
      <x:c r="B3" s="67"/>
      <x:c r="C3" s="67"/>
      <x:c r="D3" s="67"/>
      <x:c r="E3" s="67"/>
      <x:c r="F3" s="67"/>
    </x:row>
    <x:row r="4">
      <x:c r="A4" s="27" t="str">
        <x:v>Capacity output</x:v>
      </x:c>
      <x:c r="B4" s="27" t="str">
        <x:v>Year 3 estimate</x:v>
      </x:c>
      <x:c r="C4" s="27" t="str">
        <x:v>Interpretation</x:v>
      </x:c>
      <x:c r="D4" s="67"/>
      <x:c r="E4" s="67"/>
      <x:c r="F4" s="67"/>
    </x:row>
    <x:row r="5">
      <x:c r="A5" s="78" t="str">
        <x:v>Logical data</x:v>
      </x:c>
      <x:c r="B5" s="87" t="n">
        <x:f>'Projections'!E5</x:f>
        <x:v>0</x:v>
      </x:c>
      <x:c r="C5" s="78" t="str">
        <x:v>Application growth projection</x:v>
      </x:c>
      <x:c r="D5" s="67"/>
      <x:c r="E5" s="67"/>
      <x:c r="F5" s="67"/>
    </x:row>
    <x:row r="6">
      <x:c r="A6" s="78" t="str">
        <x:v>Stored collection data</x:v>
      </x:c>
      <x:c r="B6" s="87" t="n">
        <x:f>'Projections'!E6</x:f>
        <x:v>0</x:v>
      </x:c>
      <x:c r="C6" s="78" t="str">
        <x:v>After storage-ratio assumption</x:v>
      </x:c>
      <x:c r="D6" s="67"/>
      <x:c r="E6" s="67"/>
      <x:c r="F6" s="67"/>
    </x:row>
    <x:row r="7">
      <x:c r="A7" s="78" t="str">
        <x:v>Index data</x:v>
      </x:c>
      <x:c r="B7" s="87" t="n">
        <x:f>'Projections'!E7</x:f>
        <x:v>0</x:v>
      </x:c>
      <x:c r="C7" s="78" t="str">
        <x:v>Separate from collection data</x:v>
      </x:c>
      <x:c r="D7" s="67"/>
      <x:c r="E7" s="67"/>
      <x:c r="F7" s="67"/>
    </x:row>
    <x:row r="8">
      <x:c r="A8" s="78" t="str">
        <x:v>Hot working set</x:v>
      </x:c>
      <x:c r="B8" s="87" t="n">
        <x:f>'Projections'!E10</x:f>
        <x:v>0</x:v>
      </x:c>
      <x:c r="C8" s="78" t="str">
        <x:v>Hot stored data plus hot indexes</x:v>
      </x:c>
      <x:c r="D8" s="67"/>
      <x:c r="E8" s="67"/>
      <x:c r="F8" s="67"/>
    </x:row>
    <x:row r="9">
      <x:c r="A9" s="78" t="str">
        <x:v>Heuristic host RAM floor</x:v>
      </x:c>
      <x:c r="B9" s="87" t="n">
        <x:f>IF('Application Inputs'!C20&gt;0,B8/'Application Inputs'!C20,0)</x:f>
        <x:v>0</x:v>
      </x:c>
      <x:c r="C9" s="78" t="str">
        <x:v>Planning heuristic only; validate cache and latency under load</x:v>
      </x:c>
      <x:c r="D9" s="67"/>
      <x:c r="E9" s="67"/>
      <x:c r="F9" s="67"/>
    </x:row>
    <x:row r="10">
      <x:c r="A10" s="78" t="str">
        <x:v>Oplog capacity</x:v>
      </x:c>
      <x:c r="B10" s="87" t="n">
        <x:f>'Projections'!E11</x:f>
        <x:v>0</x:v>
      </x:c>
      <x:c r="C10" s="78" t="str">
        <x:v>Peak rate × window × safety factor</x:v>
      </x:c>
      <x:c r="D10" s="67"/>
      <x:c r="E10" s="67"/>
      <x:c r="F10" s="67"/>
    </x:row>
    <x:row r="11">
      <x:c r="A11" s="78" t="str">
        <x:v>Disk capacity per node</x:v>
      </x:c>
      <x:c r="B11" s="87" t="n">
        <x:f>'Projections'!E12</x:f>
        <x:v>28.571428571428573</x:v>
      </x:c>
      <x:c r="C11" s="78" t="str">
        <x:v>Includes headroom and operational reserve</x:v>
      </x:c>
      <x:c r="D11" s="67"/>
      <x:c r="E11" s="67"/>
      <x:c r="F11" s="67"/>
    </x:row>
    <x:row r="12">
      <x:c r="A12" s="78" t="str">
        <x:v>Total replica data-disk capacity</x:v>
      </x:c>
      <x:c r="B12" s="87" t="n">
        <x:f>B11*'Application Inputs'!C21</x:f>
        <x:v>85.71428571428572</x:v>
      </x:c>
      <x:c r="C12" s="78" t="str">
        <x:v>Capacity and cost view; each member still needs per-node capacity</x:v>
      </x:c>
      <x:c r="D12" s="67"/>
      <x:c r="E12" s="67"/>
      <x:c r="F12" s="67"/>
    </x:row>
    <x:row r="13">
      <x:c r="A13" s="67"/>
      <x:c r="B13" s="67"/>
      <x:c r="C13" s="67"/>
      <x:c r="D13" s="67"/>
      <x:c r="E13" s="67"/>
      <x:c r="F13" s="67"/>
    </x:row>
    <x:row r="14">
      <x:c r="A14" s="27" t="str">
        <x:v>Performance decision</x:v>
      </x:c>
      <x:c r="B14" s="27" t="str">
        <x:v>Status</x:v>
      </x:c>
      <x:c r="C14" s="27" t="str">
        <x:v>Required evidence</x:v>
      </x:c>
      <x:c r="D14" s="67"/>
      <x:c r="E14" s="67"/>
      <x:c r="F14" s="67"/>
    </x:row>
    <x:row r="15">
      <x:c r="A15" s="78" t="str">
        <x:v>vCPU per node</x:v>
      </x:c>
      <x:c r="B15" s="91" t="str">
        <x:v>Benchmark required</x:v>
      </x:c>
      <x:c r="C15" s="78" t="str">
        <x:v>Concurrency, throughput, latency, aggregation, encryption, and background work</x:v>
      </x:c>
      <x:c r="D15" s="67"/>
      <x:c r="E15" s="67"/>
      <x:c r="F15" s="67"/>
    </x:row>
    <x:row r="16">
      <x:c r="A16" s="78" t="str">
        <x:v>EBS IOPS</x:v>
      </x:c>
      <x:c r="B16" s="91" t="str">
        <x:v>Benchmark required</x:v>
      </x:c>
      <x:c r="C16" s="78" t="str">
        <x:v>Sustained and burst read/write IOPS plus latency</x:v>
      </x:c>
      <x:c r="D16" s="67"/>
      <x:c r="E16" s="67"/>
      <x:c r="F16" s="67"/>
    </x:row>
    <x:row r="17">
      <x:c r="A17" s="78" t="str">
        <x:v>EBS throughput</x:v>
      </x:c>
      <x:c r="B17" s="91" t="str">
        <x:v>Benchmark required</x:v>
      </x:c>
      <x:c r="C17" s="78" t="str">
        <x:v>Read/write MiB/s, initial sync, backup, and restore</x:v>
      </x:c>
      <x:c r="D17" s="67"/>
      <x:c r="E17" s="67"/>
      <x:c r="F17" s="67"/>
    </x:row>
    <x:row r="18">
      <x:c r="A18" s="78" t="str">
        <x:v>Sharding</x:v>
      </x:c>
      <x:c r="B18" s="91" t="str">
        <x:v>Architecture assessment required</x:v>
      </x:c>
      <x:c r="C18" s="78" t="str">
        <x:v>Replica-set limits, query distribution, growth, and shard-key analysis</x:v>
      </x:c>
      <x:c r="D18" s="67"/>
      <x:c r="E18" s="67"/>
      <x:c r="F18" s="67"/>
    </x:row>
    <x:row r="19">
      <x:c r="A19" s="67"/>
      <x:c r="B19" s="67"/>
      <x:c r="C19" s="67"/>
      <x:c r="D19" s="67"/>
      <x:c r="E19" s="67"/>
      <x:c r="F19" s="67"/>
    </x:row>
    <x:row r="20">
      <x:c r="A20" s="34" t="str">
        <x:v>This workbook deliberately does not calculate CPU, IOPS, throughput, EC2 type, EBS type, replica-set voting design, or shard count from generic ratios.</x:v>
      </x:c>
      <x:c r="B20" s="34"/>
      <x:c r="C20" s="34"/>
      <x:c r="D20" s="34"/>
      <x:c r="E20" s="34"/>
      <x:c r="F20" s="34"/>
    </x:row>
  </x:sheetData>
  <x:mergeCells>
    <x:mergeCell ref="A1:F2"/>
    <x:mergeCell ref="A20:F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8" hidden="0" customWidth="1"/>
    <x:col min="3" max="3" width="13" hidden="0" customWidth="1"/>
    <x:col min="4" max="4" width="55" hidden="0" customWidth="1"/>
  </x:cols>
  <x:sheetData>
    <x:row r="1" ht="30" customHeight="1">
      <x:c r="A1" s="66" t="str">
        <x:v>Sources and Rule Classification</x:v>
      </x:c>
      <x:c r="B1" s="66" t="str">
        <x:v>Sources and Rule Classification</x:v>
      </x:c>
      <x:c r="C1" s="66" t="str">
        <x:v>Sources and Rule Classification</x:v>
      </x:c>
      <x:c r="D1" s="66" t="str">
        <x:v>Sources and Rule Classification</x:v>
      </x:c>
    </x:row>
    <x:row r="2" ht="30" customHeight="1">
      <x:c r="A2" s="66" t="str">
        <x:v>Sources and Rule Classification</x:v>
      </x:c>
      <x:c r="B2" s="66" t="str">
        <x:v>Sources and Rule Classification</x:v>
      </x:c>
      <x:c r="C2" s="66" t="str">
        <x:v>Sources and Rule Classification</x:v>
      </x:c>
      <x:c r="D2" s="66" t="str">
        <x:v>Sources and Rule Classification</x:v>
      </x:c>
    </x:row>
    <x:row r="3">
      <x:c r="A3" s="67"/>
      <x:c r="B3" s="67"/>
      <x:c r="C3" s="67"/>
      <x:c r="D3" s="67"/>
    </x:row>
    <x:row r="4">
      <x:c r="A4" s="27" t="str">
        <x:v>Source</x:v>
      </x:c>
      <x:c r="B4" s="27" t="str">
        <x:v>URL</x:v>
      </x:c>
      <x:c r="C4" s="27" t="str">
        <x:v>Type</x:v>
      </x:c>
      <x:c r="D4" s="27" t="str">
        <x:v>Use in workbook</x:v>
      </x:c>
    </x:row>
    <x:row r="5">
      <x:c r="A5" s="78" t="str">
        <x:v>MongoDB Production Notes</x:v>
      </x:c>
      <x:c r="B5" s="78" t="str">
        <x:v>https://www.mongodb.com/docs/manual/administration/production-notes/</x:v>
      </x:c>
      <x:c r="C5" s="92" t="str">
        <x:v>Primary</x:v>
      </x:c>
      <x:c r="D5" s="78" t="str">
        <x:v>CPU baseline, WiredTiger cache, filesystem cache, production considerations</x:v>
      </x:c>
    </x:row>
    <x:row r="6">
      <x:c r="A6" s="78" t="str">
        <x:v>MongoDB WiredTiger</x:v>
      </x:c>
      <x:c r="B6" s="78" t="str">
        <x:v>https://www.mongodb.com/docs/manual/core/wiredtiger/</x:v>
      </x:c>
      <x:c r="C6" s="92" t="str">
        <x:v>Primary</x:v>
      </x:c>
      <x:c r="D6" s="78" t="str">
        <x:v>Cache and compression behavior</x:v>
      </x:c>
    </x:row>
    <x:row r="7">
      <x:c r="A7" s="78" t="str">
        <x:v>MongoDB Schema Design</x:v>
      </x:c>
      <x:c r="B7" s="78" t="str">
        <x:v>https://www.mongodb.com/docs/manual/data-modeling/schema-design-process/</x:v>
      </x:c>
      <x:c r="C7" s="92" t="str">
        <x:v>Primary</x:v>
      </x:c>
      <x:c r="D7" s="78" t="str">
        <x:v>Workload-first schema and index process</x:v>
      </x:c>
    </x:row>
    <x:row r="8">
      <x:c r="A8" s="78" t="str">
        <x:v>MongoDB Identify Workload</x:v>
      </x:c>
      <x:c r="B8" s="78" t="str">
        <x:v>https://www.mongodb.com/docs/manual/data-modeling/schema-design-process/identify-workload/</x:v>
      </x:c>
      <x:c r="C8" s="92" t="str">
        <x:v>Primary</x:v>
      </x:c>
      <x:c r="D8" s="78" t="str">
        <x:v>Query/action inventory</x:v>
      </x:c>
    </x:row>
    <x:row r="9">
      <x:c r="A9" s="78" t="str">
        <x:v>MongoDB Index Guidance</x:v>
      </x:c>
      <x:c r="B9" s="78" t="str">
        <x:v>https://www.mongodb.com/docs/manual/data-modeling/schema-design-process/create-indexes/</x:v>
      </x:c>
      <x:c r="C9" s="92" t="str">
        <x:v>Primary</x:v>
      </x:c>
      <x:c r="D9" s="78" t="str">
        <x:v>Query-supported indexes and index overhead</x:v>
      </x:c>
    </x:row>
    <x:row r="10">
      <x:c r="A10" s="78" t="str">
        <x:v>MongoDB Shard Key</x:v>
      </x:c>
      <x:c r="B10" s="78" t="str">
        <x:v>https://www.mongodb.com/docs/manual/core/sharding-choose-a-shard-key/</x:v>
      </x:c>
      <x:c r="C10" s="92" t="str">
        <x:v>Primary</x:v>
      </x:c>
      <x:c r="D10" s="78" t="str">
        <x:v>Cardinality, frequency, monotonicity, and query distribution</x:v>
      </x:c>
    </x:row>
    <x:row r="11">
      <x:c r="A11" s="78" t="str">
        <x:v>Amazon EBS Volume Types</x:v>
      </x:c>
      <x:c r="B11" s="78" t="str">
        <x:v>https://docs.aws.amazon.com/ebs/latest/userguide/ebs-volume-types.html</x:v>
      </x:c>
      <x:c r="C11" s="92" t="str">
        <x:v>Primary</x:v>
      </x:c>
      <x:c r="D11" s="78" t="str">
        <x:v>Current EBS capacity and performance limits</x:v>
      </x:c>
    </x:row>
    <x:row r="12">
      <x:c r="A12" s="78" t="str">
        <x:v>OVHcloud Cluster Sizing</x:v>
      </x:c>
      <x:c r="B12" s="78" t="str">
        <x:v>https://docs.ovhcloud.com/en/guides/public-cloud/databases/mongodb-cluster-sizing</x:v>
      </x:c>
      <x:c r="C12" s="92" t="str">
        <x:v>Secondary</x:v>
      </x:c>
      <x:c r="D12" s="78" t="str">
        <x:v>Heuristic cross-check only</x:v>
      </x:c>
    </x:row>
  </x:sheetData>
  <x:mergeCells>
    <x:mergeCell ref="A1:D2"/>
  </x:mergeCells>
  <x:pageMargins left="0.7" right="0.7" top="0.75" bottom="0.75" header="0.3" footer="0.3"/>
</x:worksheet>
</file>