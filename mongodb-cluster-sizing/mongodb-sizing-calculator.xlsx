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71555aa46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60ca0d5b06743e5"/>
    <x:sheet xmlns:r="http://schemas.openxmlformats.org/officeDocument/2006/relationships" name="Application Inputs" sheetId="2" r:id="Rf5bf7420fade4cef"/>
    <x:sheet xmlns:r="http://schemas.openxmlformats.org/officeDocument/2006/relationships" name="DBA Inputs" sheetId="3" r:id="R106fcaf90ca64a36"/>
    <x:sheet xmlns:r="http://schemas.openxmlformats.org/officeDocument/2006/relationships" name="Collection Inputs" sheetId="4" r:id="R1d3dbfa494c44606"/>
    <x:sheet xmlns:r="http://schemas.openxmlformats.org/officeDocument/2006/relationships" name="Projections" sheetId="5" r:id="R112fa0b4b2c34b6e"/>
    <x:sheet xmlns:r="http://schemas.openxmlformats.org/officeDocument/2006/relationships" name="Sizing Summary" sheetId="6" r:id="R3b638211cabf40f5"/>
    <x:sheet xmlns:r="http://schemas.openxmlformats.org/officeDocument/2006/relationships" name="EC2 Candidates" sheetId="7" r:id="R8dc1acfb417c40a0"/>
    <x:sheet xmlns:r="http://schemas.openxmlformats.org/officeDocument/2006/relationships" name="EBS Candidates" sheetId="8" r:id="R38af5f4ef0944f96"/>
    <x:sheet xmlns:r="http://schemas.openxmlformats.org/officeDocument/2006/relationships" name="Sources" sheetId="9" r:id="Rab41fbccd56b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"/>
    <x:numFmt numFmtId="202" formatCode="#,##0.0"/>
    <x:numFmt numFmtId="203" formatCode="#,##0"/>
    <x:numFmt numFmtId="204" formatCode="#,##0.00"/>
    <x:numFmt numFmtId="205" formatCode="&quot;Year &quot;0"/>
    <x:numFmt numFmtId="206" formatCode="#,##0.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10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bottom style="thin">
        <x:color rgb="FFB8C2CC"/>
      </x:bottom>
    </x:border>
    <x:border>
      <x:right style="thin">
        <x:color rgb="FFB8C2CC"/>
      </x:right>
      <x:top style="thin">
        <x:color rgb="FFB8C2CC"/>
      </x:top>
      <x:bottom style="thin">
        <x:color rgb="FFB8C2CC"/>
      </x:bottom>
    </x:border>
    <x:border>
      <x:left style="thin">
        <x:color rgb="FFB8C2CC"/>
      </x:left>
      <x:top style="thin">
        <x:color rgb="FFB8C2CC"/>
      </x:top>
      <x:bottom style="thin">
        <x:color rgb="FFB8C2CC"/>
      </x:bottom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  <x:top style="thin">
        <x:color rgb="FFB8C2CC"/>
      </x:top>
    </x:border>
    <x:border>
      <x:left style="thin">
        <x:color rgb="FFB8C2CC"/>
      </x:left>
      <x:right style="thin">
        <x:color rgb="FFB8C2CC"/>
      </x:right>
      <x:bottom style="thin">
        <x:color rgb="FFB8C2CC"/>
      </x:bottom>
    </x:border>
    <x:border>
      <x:left style="thin">
        <x:color rgb="FFB8C2CC"/>
      </x:left>
      <x:right style="thin">
        <x:color rgb="FFB8C2CC"/>
      </x:right>
      <x:top style="thin">
        <x:color rgb="FFB8C2CC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1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5" borderId="8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0" fillId="5" borderId="9" xfId="0" applyNumberFormat="1" applyFont="1" applyFill="1" applyBorder="1" applyAlignment="1">
      <x:alignment vertical="top"/>
    </x:xf>
    <x:xf numFmtId="200" fontId="0" fillId="5" borderId="1" xfId="0" applyNumberFormat="1" applyFont="1" applyFill="1" applyBorder="1" applyAlignment="1">
      <x:alignment vertical="top"/>
    </x:xf>
    <x:xf numFmtId="201" fontId="0" fillId="5" borderId="1" xfId="0" applyNumberFormat="1" applyFont="1" applyFill="1" applyBorder="1" applyAlignment="1">
      <x:alignment vertical="top"/>
    </x:xf>
    <x:xf numFmtId="202" fontId="0" fillId="5" borderId="8" xfId="0" applyNumberFormat="1" applyFont="1" applyFill="1" applyBorder="1" applyAlignment="1">
      <x:alignment vertical="top"/>
    </x:xf>
    <x:xf numFmtId="202" fontId="0" fillId="5" borderId="1" xfId="0" applyNumberFormat="1" applyFont="1" applyFill="1" applyBorder="1" applyAlignment="1">
      <x:alignment vertical="top"/>
    </x:xf>
    <x:xf numFmtId="203" fontId="0" fillId="5" borderId="1" xfId="0" applyNumberFormat="1" applyFont="1" applyFill="1" applyBorder="1" applyAlignment="1">
      <x:alignment vertical="top"/>
    </x:xf>
    <x:xf numFmtId="203" fontId="0" fillId="5" borderId="9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5" borderId="0" xfId="0" applyNumberFormat="1" applyFont="1" applyFill="1" applyBorder="1"/>
    <x:xf numFmtId="204" fontId="0" fillId="5" borderId="0" xfId="0" applyNumberFormat="1" applyFont="1" applyFill="1" applyBorder="1"/>
    <x:xf numFmtId="204" fontId="0" fillId="4" borderId="0" xfId="0" applyNumberFormat="1" applyFont="1" applyFill="1" applyBorder="1"/>
    <x:xf numFmtId="204" fontId="0" fillId="6" borderId="0" xfId="0" applyNumberFormat="1" applyFont="1" applyFill="1" applyBorder="1"/>
    <x:xf numFmtId="204" fontId="0" fillId="5" borderId="1" xfId="0" applyNumberFormat="1" applyFont="1" applyFill="1" applyBorder="1"/>
    <x:xf numFmtId="204" fontId="0" fillId="4" borderId="1" xfId="0" applyNumberFormat="1" applyFont="1" applyFill="1" applyBorder="1"/>
    <x:xf numFmtId="204" fontId="0" fillId="6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1" xfId="0" applyNumberFormat="1" applyFont="1" applyFill="1" applyBorder="1"/>
    <x:xf numFmtId="203" fontId="0" fillId="5" borderId="1" xfId="0" applyNumberFormat="1" applyFont="1" applyFill="1" applyBorder="1"/>
    <x:xf numFmtId="205" fontId="4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206" fontId="0" fillId="0" borderId="1" xfId="0" applyNumberFormat="1" applyFont="1" applyFill="1" applyBorder="1"/>
    <x:xf numFmtId="0" fontId="0" fillId="7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2" fontId="0" fillId="5" borderId="8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3" fontId="0" fillId="5" borderId="1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203" fontId="0" fillId="5" borderId="9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204" fontId="0" fillId="5" borderId="1" xfId="0" applyNumberFormat="1" applyFont="1" applyFill="1" applyBorder="1" applyAlignment="1">
      <x:alignment vertical="top"/>
    </x:xf>
    <x:xf numFmtId="204" fontId="0" fillId="4" borderId="1" xfId="0" applyNumberFormat="1" applyFont="1" applyFill="1" applyBorder="1" applyAlignment="1">
      <x:alignment vertical="top"/>
    </x:xf>
    <x:xf numFmtId="204" fontId="0" fillId="6" borderId="1" xfId="0" applyNumberFormat="1" applyFont="1" applyFill="1" applyBorder="1" applyAlignment="1">
      <x:alignment vertical="top"/>
    </x:xf>
    <x:xf numFmtId="204" fontId="0" fillId="5" borderId="1" xfId="0" applyNumberFormat="1" applyFont="1" applyFill="1" applyBorder="1" applyAlignment="1">
      <x:alignment vertical="top" wrapText="1"/>
    </x:xf>
    <x:xf numFmtId="204" fontId="0" fillId="4" borderId="1" xfId="0" applyNumberFormat="1" applyFont="1" applyFill="1" applyBorder="1" applyAlignment="1">
      <x:alignment vertical="top" wrapText="1"/>
    </x:xf>
    <x:xf numFmtId="204" fontId="0" fillId="6" borderId="1" xfId="0" applyNumberFormat="1" applyFont="1" applyFill="1" applyBorder="1" applyAlignment="1">
      <x:alignment vertical="top" wrapText="1"/>
    </x:xf>
    <x:xf numFmtId="205" fontId="4" fillId="2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206" fontId="0" fillId="0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27add9a4d9484c" /><Relationship Type="http://schemas.openxmlformats.org/officeDocument/2006/relationships/theme" Target="/xl/theme/theme1.xml" Id="R45c64fd316b44794" /><Relationship Type="http://schemas.openxmlformats.org/officeDocument/2006/relationships/sharedStrings" Target="/xl/sharedStrings.xml" Id="R136f5d17065748e1" /><Relationship Type="http://schemas.openxmlformats.org/officeDocument/2006/relationships/worksheet" Target="/xl/worksheets/sheet1.xml" Id="R060ca0d5b06743e5" /><Relationship Type="http://schemas.openxmlformats.org/officeDocument/2006/relationships/worksheet" Target="/xl/worksheets/sheet2.xml" Id="Rf5bf7420fade4cef" /><Relationship Type="http://schemas.openxmlformats.org/officeDocument/2006/relationships/worksheet" Target="/xl/worksheets/sheet3.xml" Id="R106fcaf90ca64a36" /><Relationship Type="http://schemas.openxmlformats.org/officeDocument/2006/relationships/worksheet" Target="/xl/worksheets/sheet4.xml" Id="R1d3dbfa494c44606" /><Relationship Type="http://schemas.openxmlformats.org/officeDocument/2006/relationships/worksheet" Target="/xl/worksheets/sheet5.xml" Id="R112fa0b4b2c34b6e" /><Relationship Type="http://schemas.openxmlformats.org/officeDocument/2006/relationships/worksheet" Target="/xl/worksheets/sheet6.xml" Id="R3b638211cabf40f5" /><Relationship Type="http://schemas.openxmlformats.org/officeDocument/2006/relationships/worksheet" Target="/xl/worksheets/sheet7.xml" Id="R8dc1acfb417c40a0" /><Relationship Type="http://schemas.openxmlformats.org/officeDocument/2006/relationships/worksheet" Target="/xl/worksheets/sheet8.xml" Id="R38af5f4ef0944f96" /><Relationship Type="http://schemas.openxmlformats.org/officeDocument/2006/relationships/worksheet" Target="/xl/worksheets/sheet9.xml" Id="Rab41fbccd56b4f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2" t="str">
        <x:v>MongoDB Sizing Calculator</x:v>
      </x:c>
      <x:c r="B1" s="72" t="str">
        <x:v>MongoDB Sizing Calculator</x:v>
      </x:c>
      <x:c r="C1" s="72" t="str">
        <x:v>MongoDB Sizing Calculator</x:v>
      </x:c>
      <x:c r="D1" s="72" t="str">
        <x:v>MongoDB Sizing Calculator</x:v>
      </x:c>
      <x:c r="E1" s="72" t="str">
        <x:v>MongoDB Sizing Calculator</x:v>
      </x:c>
      <x:c r="F1" s="72" t="str">
        <x:v>MongoDB Sizing Calculator</x:v>
      </x:c>
    </x:row>
    <x:row r="2" ht="30" customHeight="1">
      <x:c r="A2" s="72" t="str">
        <x:v>MongoDB Sizing Calculator</x:v>
      </x:c>
      <x:c r="B2" s="72" t="str">
        <x:v>MongoDB Sizing Calculator</x:v>
      </x:c>
      <x:c r="C2" s="72" t="str">
        <x:v>MongoDB Sizing Calculator</x:v>
      </x:c>
      <x:c r="D2" s="72" t="str">
        <x:v>MongoDB Sizing Calculator</x:v>
      </x:c>
      <x:c r="E2" s="72" t="str">
        <x:v>MongoDB Sizing Calculator</x:v>
      </x:c>
      <x:c r="F2" s="72" t="str">
        <x:v>MongoDB Sizing Calculator</x:v>
      </x:c>
    </x:row>
    <x:row r="3">
      <x:c r="A3" s="73"/>
      <x:c r="B3" s="73"/>
      <x:c r="C3" s="73"/>
      <x:c r="D3" s="73"/>
      <x:c r="E3" s="73"/>
      <x:c r="F3" s="73"/>
    </x:row>
    <x:row r="4">
      <x:c r="A4" s="74" t="str">
        <x:v>Purpose</x:v>
      </x:c>
      <x:c r="B4" s="74"/>
      <x:c r="C4" s="74"/>
      <x:c r="D4" s="74"/>
      <x:c r="E4" s="74"/>
      <x:c r="F4" s="74"/>
    </x:row>
    <x:row r="5">
      <x:c r="A5" s="26" t="str">
        <x:v>Initial planning workbook for translating application workload information into data, working-set, oplog, and storage estimates. CPU and IOPS require representative testing.</x:v>
      </x:c>
      <x:c r="B5" s="26"/>
      <x:c r="C5" s="26"/>
      <x:c r="D5" s="26"/>
      <x:c r="E5" s="26"/>
      <x:c r="F5" s="26"/>
    </x:row>
    <x:row r="6">
      <x:c r="A6" s="73"/>
      <x:c r="B6" s="73"/>
      <x:c r="C6" s="73"/>
      <x:c r="D6" s="73"/>
      <x:c r="E6" s="73"/>
      <x:c r="F6" s="73"/>
    </x:row>
    <x:row r="7">
      <x:c r="A7" s="27" t="str">
        <x:v>Step</x:v>
      </x:c>
      <x:c r="B7" s="27" t="str">
        <x:v>Action</x:v>
      </x:c>
      <x:c r="C7" s="73"/>
      <x:c r="D7" s="73"/>
      <x:c r="E7" s="73"/>
      <x:c r="F7" s="73"/>
    </x:row>
    <x:row r="8">
      <x:c r="A8" s="75" t="n">
        <x:v>1</x:v>
      </x:c>
      <x:c r="B8" s="76" t="str">
        <x:v>Complete the application-team questionnaire.</x:v>
      </x:c>
      <x:c r="C8" s="73"/>
      <x:c r="D8" s="73"/>
      <x:c r="E8" s="73"/>
      <x:c r="F8" s="73"/>
    </x:row>
    <x:row r="9">
      <x:c r="A9" s="77" t="n">
        <x:v>2</x:v>
      </x:c>
      <x:c r="B9" s="78" t="str">
        <x:v>Enter normalized values in Application Inputs.</x:v>
      </x:c>
      <x:c r="C9" s="73"/>
      <x:c r="D9" s="73"/>
      <x:c r="E9" s="73"/>
      <x:c r="F9" s="73"/>
    </x:row>
    <x:row r="10">
      <x:c r="A10" s="77" t="n">
        <x:v>3</x:v>
      </x:c>
      <x:c r="B10" s="78" t="str">
        <x:v>Optionally enter collection-level estimates in Collection Inputs.</x:v>
      </x:c>
      <x:c r="C10" s="73"/>
      <x:c r="D10" s="73"/>
      <x:c r="E10" s="73"/>
      <x:c r="F10" s="73"/>
    </x:row>
    <x:row r="11">
      <x:c r="A11" s="77" t="n">
        <x:v>4</x:v>
      </x:c>
      <x:c r="B11" s="78" t="str">
        <x:v>Enter measured test results and platform requirements in DBA Inputs.</x:v>
      </x:c>
      <x:c r="C11" s="73"/>
      <x:c r="D11" s="73"/>
      <x:c r="E11" s="73"/>
      <x:c r="F11" s="73"/>
    </x:row>
    <x:row r="12">
      <x:c r="A12" s="77" t="n">
        <x:v>5</x:v>
      </x:c>
      <x:c r="B12" s="78" t="str">
        <x:v>Review formula-driven Projections and Sizing Summary.</x:v>
      </x:c>
      <x:c r="C12" s="73"/>
      <x:c r="D12" s="73"/>
      <x:c r="E12" s="73"/>
      <x:c r="F12" s="73"/>
    </x:row>
    <x:row r="13">
      <x:c r="A13" s="77" t="n">
        <x:v>6</x:v>
      </x:c>
      <x:c r="B13" s="78" t="str">
        <x:v>Compare approved instance types in EC2 Candidates.</x:v>
      </x:c>
      <x:c r="C13" s="73"/>
      <x:c r="D13" s="73"/>
      <x:c r="E13" s="73"/>
      <x:c r="F13" s="73"/>
    </x:row>
    <x:row r="14">
      <x:c r="A14" s="77" t="n">
        <x:v>7</x:v>
      </x:c>
      <x:c r="B14" s="78" t="str">
        <x:v>Configure and compare volumes in EBS Candidates.</x:v>
      </x:c>
      <x:c r="C14" s="73"/>
      <x:c r="D14" s="73"/>
      <x:c r="E14" s="73"/>
      <x:c r="F14" s="73"/>
    </x:row>
    <x:row r="15">
      <x:c r="A15" s="79" t="n">
        <x:v>8</x:v>
      </x:c>
      <x:c r="B15" s="80" t="str">
        <x:v>Validate the complete EC2 and EBS combination with representative testing.</x:v>
      </x:c>
      <x:c r="C15" s="73"/>
      <x:c r="D15" s="73"/>
      <x:c r="E15" s="73"/>
      <x:c r="F15" s="73"/>
    </x:row>
    <x:row r="16">
      <x:c r="A16" s="73"/>
      <x:c r="B16" s="73"/>
      <x:c r="C16" s="73"/>
      <x:c r="D16" s="73"/>
      <x:c r="E16" s="73"/>
      <x:c r="F16" s="73"/>
    </x:row>
    <x:row r="17">
      <x:c r="A17" s="34" t="str">
        <x:v>Important: all blue cells are editable inputs. Yellow cells contain assumptions or heuristics that require review. Green cells contain calculated results.</x:v>
      </x:c>
      <x:c r="B17" s="34"/>
      <x:c r="C17" s="34"/>
      <x:c r="D17" s="34"/>
      <x:c r="E17" s="34"/>
      <x:c r="F17" s="34"/>
    </x:row>
    <x:row r="18">
      <x:c r="A18" s="73"/>
      <x:c r="B18" s="73"/>
      <x:c r="C18" s="73"/>
      <x:c r="D18" s="73"/>
      <x:c r="E18" s="73"/>
      <x:c r="F18" s="73"/>
    </x:row>
    <x:row r="19">
      <x:c r="A19" s="35" t="str">
        <x:v>Do not treat this workbook as a production specification. Preserve the evidence basis for every material input and verify dated AWS specifications before approval.</x:v>
      </x:c>
      <x:c r="B19" s="35"/>
      <x:c r="C19" s="35"/>
      <x:c r="D19" s="35"/>
      <x:c r="E19" s="35"/>
      <x:c r="F19" s="35"/>
    </x:row>
    <x:row r="20">
      <x:c r="A20" s="73"/>
      <x:c r="B20" s="73"/>
      <x:c r="C20" s="73"/>
      <x:c r="D20" s="73"/>
      <x:c r="E20" s="73"/>
      <x:c r="F20" s="73"/>
    </x:row>
    <x:row r="21">
      <x:c r="A21" s="73"/>
      <x:c r="B21" s="73"/>
      <x:c r="C21" s="73"/>
      <x:c r="D21" s="73"/>
      <x:c r="E21" s="73"/>
      <x:c r="F21" s="73"/>
    </x:row>
  </x:sheetData>
  <x:mergeCells>
    <x:mergeCell ref="A1:F2"/>
    <x:mergeCell ref="A4:F4"/>
    <x:mergeCell ref="A5:F5"/>
    <x:mergeCell ref="A17:F17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17" hidden="0" customWidth="1"/>
    <x:col min="4" max="4" width="18" hidden="0" customWidth="1"/>
    <x:col min="5" max="5" width="18" hidden="0" customWidth="1"/>
    <x:col min="6" max="6" width="52" hidden="0" customWidth="1"/>
  </x:cols>
  <x:sheetData>
    <x:row r="1" ht="30" customHeight="1">
      <x:c r="A1" s="72" t="str">
        <x:v>Application Inputs</x:v>
      </x:c>
      <x:c r="B1" s="72" t="str">
        <x:v>Application Inputs</x:v>
      </x:c>
      <x:c r="C1" s="72" t="str">
        <x:v>Application Inputs</x:v>
      </x:c>
      <x:c r="D1" s="72" t="str">
        <x:v>Application Inputs</x:v>
      </x:c>
      <x:c r="E1" s="72" t="str">
        <x:v>Application Inputs</x:v>
      </x:c>
      <x:c r="F1" s="72" t="str">
        <x:v>Application Inputs</x:v>
      </x:c>
    </x:row>
    <x:row r="2" ht="30" customHeight="1">
      <x:c r="A2" s="72" t="str">
        <x:v>Application Inputs</x:v>
      </x:c>
      <x:c r="B2" s="72" t="str">
        <x:v>Application Inputs</x:v>
      </x:c>
      <x:c r="C2" s="72" t="str">
        <x:v>Application Inputs</x:v>
      </x:c>
      <x:c r="D2" s="72" t="str">
        <x:v>Application Inputs</x:v>
      </x:c>
      <x:c r="E2" s="72" t="str">
        <x:v>Application Inputs</x:v>
      </x:c>
      <x:c r="F2" s="72" t="str">
        <x:v>Application Inputs</x:v>
      </x:c>
    </x:row>
    <x:row r="3">
      <x:c r="A3" s="73"/>
      <x:c r="B3" s="73"/>
      <x:c r="C3" s="73"/>
      <x:c r="D3" s="73"/>
      <x:c r="E3" s="73"/>
      <x:c r="F3" s="73"/>
    </x:row>
    <x:row r="4">
      <x:c r="A4" s="27" t="str">
        <x:v>ID</x:v>
      </x:c>
      <x:c r="B4" s="27" t="str">
        <x:v>Input</x:v>
      </x:c>
      <x:c r="C4" s="27" t="str">
        <x:v>Value</x:v>
      </x:c>
      <x:c r="D4" s="27" t="str">
        <x:v>Unit</x:v>
      </x:c>
      <x:c r="E4" s="27" t="str">
        <x:v>Answer basis</x:v>
      </x:c>
      <x:c r="F4" s="27" t="str">
        <x:v>Notes / evidence</x:v>
      </x:c>
    </x:row>
    <x:row r="5">
      <x:c r="A5" s="75" t="str">
        <x:v>IN-01</x:v>
      </x:c>
      <x:c r="B5" s="81" t="str">
        <x:v>Initial logical data</x:v>
      </x:c>
      <x:c r="C5" s="82" t="n">
        <x:v>0</x:v>
      </x:c>
      <x:c r="D5" s="81" t="str">
        <x:v>GiB</x:v>
      </x:c>
      <x:c r="E5" s="83" t="str">
        <x:v>Unknown</x:v>
      </x:c>
      <x:c r="F5" s="76" t="str">
        <x:v>Before MongoDB compression</x:v>
      </x:c>
    </x:row>
    <x:row r="6">
      <x:c r="A6" s="77" t="str">
        <x:v>IN-02</x:v>
      </x:c>
      <x:c r="B6" s="84" t="str">
        <x:v>Initial stored collection data</x:v>
      </x:c>
      <x:c r="C6" s="85" t="n">
        <x:v>0</x:v>
      </x:c>
      <x:c r="D6" s="84" t="str">
        <x:v>GiB</x:v>
      </x:c>
      <x:c r="E6" s="86" t="str">
        <x:v>Unknown</x:v>
      </x:c>
      <x:c r="F6" s="78" t="str">
        <x:v>Use measured storageSize when available</x:v>
      </x:c>
    </x:row>
    <x:row r="7">
      <x:c r="A7" s="77" t="str">
        <x:v>IN-03</x:v>
      </x:c>
      <x:c r="B7" s="84" t="str">
        <x:v>Initial index data</x:v>
      </x:c>
      <x:c r="C7" s="85" t="n">
        <x:v>0</x:v>
      </x:c>
      <x:c r="D7" s="84" t="str">
        <x:v>GiB</x:v>
      </x:c>
      <x:c r="E7" s="86" t="str">
        <x:v>Unknown</x:v>
      </x:c>
      <x:c r="F7" s="78" t="str">
        <x:v>Use measured totalIndexSize when available</x:v>
      </x:c>
    </x:row>
    <x:row r="8">
      <x:c r="A8" s="77" t="str">
        <x:v>IN-04</x:v>
      </x:c>
      <x:c r="B8" s="84" t="str">
        <x:v>Monthly logical data growth</x:v>
      </x:c>
      <x:c r="C8" s="85" t="n">
        <x:v>0</x:v>
      </x:c>
      <x:c r="D8" s="84" t="str">
        <x:v>GiB/month</x:v>
      </x:c>
      <x:c r="E8" s="86" t="str">
        <x:v>Unknown</x:v>
      </x:c>
      <x:c r="F8" s="78" t="str">
        <x:v>Normal sustained growth</x:v>
      </x:c>
    </x:row>
    <x:row r="9">
      <x:c r="A9" s="77" t="str">
        <x:v>IN-05</x:v>
      </x:c>
      <x:c r="B9" s="84" t="str">
        <x:v>Annual compound growth rate</x:v>
      </x:c>
      <x:c r="C9" s="87" t="n">
        <x:v>0.2</x:v>
      </x:c>
      <x:c r="D9" s="84" t="str">
        <x:v>%</x:v>
      </x:c>
      <x:c r="E9" s="86" t="str">
        <x:v>Estimated</x:v>
      </x:c>
      <x:c r="F9" s="78" t="str">
        <x:v>Used only for Compound model</x:v>
      </x:c>
    </x:row>
    <x:row r="10">
      <x:c r="A10" s="77" t="str">
        <x:v>IN-06</x:v>
      </x:c>
      <x:c r="B10" s="84" t="str">
        <x:v>Growth model</x:v>
      </x:c>
      <x:c r="C10" s="86" t="str">
        <x:v>Linear</x:v>
      </x:c>
      <x:c r="D10" s="84" t="str">
        <x:v>Linear/Compound</x:v>
      </x:c>
      <x:c r="E10" s="86" t="str">
        <x:v>Estimated</x:v>
      </x:c>
      <x:c r="F10" s="78" t="str">
        <x:v>Select one model</x:v>
      </x:c>
    </x:row>
    <x:row r="11">
      <x:c r="A11" s="77" t="str">
        <x:v>IN-07</x:v>
      </x:c>
      <x:c r="B11" s="84" t="str">
        <x:v>Stored-to-logical data ratio</x:v>
      </x:c>
      <x:c r="C11" s="87" t="n">
        <x:v>0.5</x:v>
      </x:c>
      <x:c r="D11" s="84" t="str">
        <x:v>%</x:v>
      </x:c>
      <x:c r="E11" s="86" t="str">
        <x:v>Estimated</x:v>
      </x:c>
      <x:c r="F11" s="78" t="str">
        <x:v>Prefer a representative data sample</x:v>
      </x:c>
    </x:row>
    <x:row r="12">
      <x:c r="A12" s="77" t="str">
        <x:v>IN-08</x:v>
      </x:c>
      <x:c r="B12" s="84" t="str">
        <x:v>Index-to-stored-data ratio</x:v>
      </x:c>
      <x:c r="C12" s="87" t="n">
        <x:v>0.25</x:v>
      </x:c>
      <x:c r="D12" s="84" t="str">
        <x:v>%</x:v>
      </x:c>
      <x:c r="E12" s="86" t="str">
        <x:v>Estimated</x:v>
      </x:c>
      <x:c r="F12" s="78" t="str">
        <x:v>Prefer representative index builds</x:v>
      </x:c>
    </x:row>
    <x:row r="13">
      <x:c r="A13" s="77" t="str">
        <x:v>IN-09</x:v>
      </x:c>
      <x:c r="B13" s="84" t="str">
        <x:v>Hot collection data percentage</x:v>
      </x:c>
      <x:c r="C13" s="87" t="n">
        <x:v>0.2</x:v>
      </x:c>
      <x:c r="D13" s="84" t="str">
        <x:v>%</x:v>
      </x:c>
      <x:c r="E13" s="86" t="str">
        <x:v>Estimated</x:v>
      </x:c>
      <x:c r="F13" s="78" t="str">
        <x:v>Frequently accessed stored data</x:v>
      </x:c>
    </x:row>
    <x:row r="14">
      <x:c r="A14" s="77" t="str">
        <x:v>IN-10</x:v>
      </x:c>
      <x:c r="B14" s="84" t="str">
        <x:v>Hot index percentage</x:v>
      </x:c>
      <x:c r="C14" s="87" t="n">
        <x:v>1</x:v>
      </x:c>
      <x:c r="D14" s="84" t="str">
        <x:v>%</x:v>
      </x:c>
      <x:c r="E14" s="86" t="str">
        <x:v>Estimated</x:v>
      </x:c>
      <x:c r="F14" s="78" t="str">
        <x:v>Frequently accessed index pages</x:v>
      </x:c>
    </x:row>
    <x:row r="15">
      <x:c r="A15" s="77" t="str">
        <x:v>IN-11</x:v>
      </x:c>
      <x:c r="B15" s="84" t="str">
        <x:v>Unused storage headroom target</x:v>
      </x:c>
      <x:c r="C15" s="87" t="n">
        <x:v>0.3</x:v>
      </x:c>
      <x:c r="D15" s="84" t="str">
        <x:v>%</x:v>
      </x:c>
      <x:c r="E15" s="86" t="str">
        <x:v>Business target</x:v>
      </x:c>
      <x:c r="F15" s="78" t="str">
        <x:v>Capacity kept free for growth and operations</x:v>
      </x:c>
    </x:row>
    <x:row r="16">
      <x:c r="A16" s="77" t="str">
        <x:v>IN-12</x:v>
      </x:c>
      <x:c r="B16" s="84" t="str">
        <x:v>Oplog generation rate</x:v>
      </x:c>
      <x:c r="C16" s="85" t="n">
        <x:v>0</x:v>
      </x:c>
      <x:c r="D16" s="84" t="str">
        <x:v>GiB/hour</x:v>
      </x:c>
      <x:c r="E16" s="86" t="str">
        <x:v>Unknown</x:v>
      </x:c>
      <x:c r="F16" s="78" t="str">
        <x:v>Measure under representative peak writes</x:v>
      </x:c>
    </x:row>
    <x:row r="17">
      <x:c r="A17" s="77" t="str">
        <x:v>IN-13</x:v>
      </x:c>
      <x:c r="B17" s="84" t="str">
        <x:v>Required oplog window</x:v>
      </x:c>
      <x:c r="C17" s="85" t="n">
        <x:v>24</x:v>
      </x:c>
      <x:c r="D17" s="84" t="str">
        <x:v>hours</x:v>
      </x:c>
      <x:c r="E17" s="86" t="str">
        <x:v>Business target</x:v>
      </x:c>
      <x:c r="F17" s="78" t="str">
        <x:v>Include maintenance and consumer outages</x:v>
      </x:c>
    </x:row>
    <x:row r="18">
      <x:c r="A18" s="77" t="str">
        <x:v>IN-14</x:v>
      </x:c>
      <x:c r="B18" s="84" t="str">
        <x:v>Oplog safety factor</x:v>
      </x:c>
      <x:c r="C18" s="85" t="n">
        <x:v>1.5</x:v>
      </x:c>
      <x:c r="D18" s="84" t="str">
        <x:v>multiplier</x:v>
      </x:c>
      <x:c r="E18" s="86" t="str">
        <x:v>Estimated</x:v>
      </x:c>
      <x:c r="F18" s="78" t="str">
        <x:v>Explicit planning assumption</x:v>
      </x:c>
    </x:row>
    <x:row r="19">
      <x:c r="A19" s="77" t="str">
        <x:v>IN-15</x:v>
      </x:c>
      <x:c r="B19" s="84" t="str">
        <x:v>Operational disk reserve</x:v>
      </x:c>
      <x:c r="C19" s="85" t="n">
        <x:v>20</x:v>
      </x:c>
      <x:c r="D19" s="84" t="str">
        <x:v>GiB</x:v>
      </x:c>
      <x:c r="E19" s="86" t="str">
        <x:v>Estimated</x:v>
      </x:c>
      <x:c r="F19" s="78" t="str">
        <x:v>Journal, logs, temp files, and maintenance reserve</x:v>
      </x:c>
    </x:row>
    <x:row r="20">
      <x:c r="A20" s="77" t="str">
        <x:v>IN-16</x:v>
      </x:c>
      <x:c r="B20" s="84" t="str">
        <x:v>Working set as share of host RAM</x:v>
      </x:c>
      <x:c r="C20" s="87" t="n">
        <x:v>0.4</x:v>
      </x:c>
      <x:c r="D20" s="84" t="str">
        <x:v>%</x:v>
      </x:c>
      <x:c r="E20" s="86" t="str">
        <x:v>Heuristic</x:v>
      </x:c>
      <x:c r="F20" s="78" t="str">
        <x:v>Planning heuristic; validate with workload tests</x:v>
      </x:c>
    </x:row>
    <x:row r="21">
      <x:c r="A21" s="77" t="str">
        <x:v>IN-17</x:v>
      </x:c>
      <x:c r="B21" s="84" t="str">
        <x:v>Replica-set data-bearing members</x:v>
      </x:c>
      <x:c r="C21" s="88" t="n">
        <x:v>3</x:v>
      </x:c>
      <x:c r="D21" s="84" t="str">
        <x:v>members</x:v>
      </x:c>
      <x:c r="E21" s="86" t="str">
        <x:v>Business target</x:v>
      </x:c>
      <x:c r="F21" s="78" t="str">
        <x:v>For total infrastructure storage only</x:v>
      </x:c>
    </x:row>
    <x:row r="22">
      <x:c r="A22" s="79" t="str">
        <x:v>IN-18</x:v>
      </x:c>
      <x:c r="B22" s="89" t="str">
        <x:v>Projection horizon</x:v>
      </x:c>
      <x:c r="C22" s="90" t="n">
        <x:v>5</x:v>
      </x:c>
      <x:c r="D22" s="89" t="str">
        <x:v>years</x:v>
      </x:c>
      <x:c r="E22" s="91" t="str">
        <x:v>Business target</x:v>
      </x:c>
      <x:c r="F22" s="80" t="str">
        <x:v>Workbook displays years 0 through 5</x:v>
      </x:c>
    </x:row>
  </x:sheetData>
  <x:mergeCells>
    <x:mergeCell ref="A1:F2"/>
  </x:mergeCells>
  <x:dataValidations count="2">
    <x:dataValidation type="list" sqref="E5:E22">
      <x:formula1>"Measured,Business target,Estimated,Heuristic,Unknown"</x:formula1>
    </x:dataValidation>
    <x:dataValidation type="list" sqref="C10">
      <x:formula1>"Linear,Compound"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20" hidden="0" customWidth="1"/>
    <x:col min="4" max="4" width="16" hidden="0" customWidth="1"/>
    <x:col min="5" max="5" width="20" hidden="0" customWidth="1"/>
    <x:col min="6" max="6" width="55" hidden="0" customWidth="1"/>
  </x:cols>
  <x:sheetData>
    <x:row r="1" ht="30" customHeight="1">
      <x:c r="A1" s="72" t="str">
        <x:v>DBA Sizing Inputs and Measured Requirements</x:v>
      </x:c>
      <x:c r="B1" s="72" t="str">
        <x:v>DBA Sizing Inputs and Measured Requirements</x:v>
      </x:c>
      <x:c r="C1" s="72" t="str">
        <x:v>DBA Sizing Inputs and Measured Requirements</x:v>
      </x:c>
      <x:c r="D1" s="72" t="str">
        <x:v>DBA Sizing Inputs and Measured Requirements</x:v>
      </x:c>
      <x:c r="E1" s="72" t="str">
        <x:v>DBA Sizing Inputs and Measured Requirements</x:v>
      </x:c>
      <x:c r="F1" s="72" t="str">
        <x:v>DBA Sizing Inputs and Measured Requirements</x:v>
      </x:c>
    </x:row>
    <x:row r="2" ht="30" customHeight="1">
      <x:c r="A2" s="72" t="str">
        <x:v>DBA Sizing Inputs and Measured Requirements</x:v>
      </x:c>
      <x:c r="B2" s="72" t="str">
        <x:v>DBA Sizing Inputs and Measured Requirements</x:v>
      </x:c>
      <x:c r="C2" s="72" t="str">
        <x:v>DBA Sizing Inputs and Measured Requirements</x:v>
      </x:c>
      <x:c r="D2" s="72" t="str">
        <x:v>DBA Sizing Inputs and Measured Requirements</x:v>
      </x:c>
      <x:c r="E2" s="72" t="str">
        <x:v>DBA Sizing Inputs and Measured Requirements</x:v>
      </x:c>
      <x:c r="F2" s="72" t="str">
        <x:v>DBA Sizing Inputs and Measured Requirements</x:v>
      </x:c>
    </x:row>
    <x:row r="3">
      <x:c r="A3" s="73"/>
      <x:c r="B3" s="73"/>
      <x:c r="C3" s="73"/>
      <x:c r="D3" s="73"/>
      <x:c r="E3" s="73"/>
      <x:c r="F3" s="73"/>
    </x:row>
    <x:row r="4">
      <x:c r="A4" s="27" t="str">
        <x:v>ID</x:v>
      </x:c>
      <x:c r="B4" s="27" t="str">
        <x:v>DBA input or result</x:v>
      </x:c>
      <x:c r="C4" s="27" t="str">
        <x:v>Value</x:v>
      </x:c>
      <x:c r="D4" s="27" t="str">
        <x:v>Unit</x:v>
      </x:c>
      <x:c r="E4" s="27" t="str">
        <x:v>Evidence basis</x:v>
      </x:c>
      <x:c r="F4" s="27" t="str">
        <x:v>Notes</x:v>
      </x:c>
    </x:row>
    <x:row r="5">
      <x:c r="A5" s="84" t="str">
        <x:v>DBA-01</x:v>
      </x:c>
      <x:c r="B5" s="84" t="str">
        <x:v>Target projection year</x:v>
      </x:c>
      <x:c r="C5" s="95" t="n">
        <x:v>3</x:v>
      </x:c>
      <x:c r="D5" s="84" t="str">
        <x:v>year</x:v>
      </x:c>
      <x:c r="E5" s="84" t="str">
        <x:v>Business target</x:v>
      </x:c>
      <x:c r="F5" s="84" t="str">
        <x:v>Select 0 through 5</x:v>
      </x:c>
    </x:row>
    <x:row r="6">
      <x:c r="A6" s="84" t="str">
        <x:v>DBA-02</x:v>
      </x:c>
      <x:c r="B6" s="84" t="str">
        <x:v>Availability service tier</x:v>
      </x:c>
      <x:c r="C6" s="95" t="str">
        <x:v>Standard</x:v>
      </x:c>
      <x:c r="D6" s="84" t="str">
        <x:v>tier</x:v>
      </x:c>
      <x:c r="E6" s="84" t="str">
        <x:v>Platform standard</x:v>
      </x:c>
      <x:c r="F6" s="84" t="str">
        <x:v>Use Custom only for an approved exception</x:v>
      </x:c>
    </x:row>
    <x:row r="7">
      <x:c r="A7" s="84" t="str">
        <x:v>DBA-03</x:v>
      </x:c>
      <x:c r="B7" s="84" t="str">
        <x:v>Required RTO</x:v>
      </x:c>
      <x:c r="C7" s="95" t="n">
        <x:v>30</x:v>
      </x:c>
      <x:c r="D7" s="84" t="str">
        <x:v>minutes</x:v>
      </x:c>
      <x:c r="E7" s="84" t="str">
        <x:v>Platform standard</x:v>
      </x:c>
      <x:c r="F7" s="84" t="str">
        <x:v>Topology and recovery input</x:v>
      </x:c>
    </x:row>
    <x:row r="8">
      <x:c r="A8" s="84" t="str">
        <x:v>DBA-04</x:v>
      </x:c>
      <x:c r="B8" s="84" t="str">
        <x:v>Required RPO</x:v>
      </x:c>
      <x:c r="C8" s="95" t="n">
        <x:v>5</x:v>
      </x:c>
      <x:c r="D8" s="84" t="str">
        <x:v>minutes</x:v>
      </x:c>
      <x:c r="E8" s="84" t="str">
        <x:v>Platform standard</x:v>
      </x:c>
      <x:c r="F8" s="84" t="str">
        <x:v>Replication, PITR, and recovery input</x:v>
      </x:c>
    </x:row>
    <x:row r="9">
      <x:c r="A9" s="84" t="str">
        <x:v>DBA-05</x:v>
      </x:c>
      <x:c r="B9" s="84" t="str">
        <x:v>Measured sustained-peak read IOPS</x:v>
      </x:c>
      <x:c r="C9" s="95" t="n">
        <x:v>0</x:v>
      </x:c>
      <x:c r="D9" s="84" t="str">
        <x:v>IOPS</x:v>
      </x:c>
      <x:c r="E9" s="84" t="str">
        <x:v>Unknown</x:v>
      </x:c>
      <x:c r="F9" s="84" t="str">
        <x:v>Representative workload test</x:v>
      </x:c>
    </x:row>
    <x:row r="10">
      <x:c r="A10" s="84" t="str">
        <x:v>DBA-06</x:v>
      </x:c>
      <x:c r="B10" s="84" t="str">
        <x:v>Measured sustained-peak write IOPS</x:v>
      </x:c>
      <x:c r="C10" s="95" t="n">
        <x:v>0</x:v>
      </x:c>
      <x:c r="D10" s="84" t="str">
        <x:v>IOPS</x:v>
      </x:c>
      <x:c r="E10" s="84" t="str">
        <x:v>Unknown</x:v>
      </x:c>
      <x:c r="F10" s="84" t="str">
        <x:v>Representative workload test</x:v>
      </x:c>
    </x:row>
    <x:row r="11">
      <x:c r="A11" s="84" t="str">
        <x:v>DBA-07</x:v>
      </x:c>
      <x:c r="B11" s="84" t="str">
        <x:v>IOPS safety factor</x:v>
      </x:c>
      <x:c r="C11" s="96" t="n">
        <x:v>1.3</x:v>
      </x:c>
      <x:c r="D11" s="84" t="str">
        <x:v>multiplier</x:v>
      </x:c>
      <x:c r="E11" s="84" t="str">
        <x:v>Heuristic</x:v>
      </x:c>
      <x:c r="F11" s="84" t="str">
        <x:v>Approved planning headroom</x:v>
      </x:c>
    </x:row>
    <x:row r="12">
      <x:c r="A12" s="84" t="str">
        <x:v>DBA-08</x:v>
      </x:c>
      <x:c r="B12" s="84" t="str">
        <x:v>Required sustained IOPS</x:v>
      </x:c>
      <x:c r="C12" s="97" t="n">
        <x:f>(C9+C10)*C11</x:f>
        <x:v>0</x:v>
      </x:c>
      <x:c r="D12" s="84" t="str">
        <x:v>IOPS</x:v>
      </x:c>
      <x:c r="E12" s="84" t="str">
        <x:v>Calculated</x:v>
      </x:c>
      <x:c r="F12" s="84" t="str">
        <x:v>Read plus write IOPS with safety factor</x:v>
      </x:c>
    </x:row>
    <x:row r="13">
      <x:c r="A13" s="84" t="str">
        <x:v>DBA-09</x:v>
      </x:c>
      <x:c r="B13" s="84" t="str">
        <x:v>Measured sustained-peak read throughput</x:v>
      </x:c>
      <x:c r="C13" s="95" t="n">
        <x:v>0</x:v>
      </x:c>
      <x:c r="D13" s="84" t="str">
        <x:v>MiB/s</x:v>
      </x:c>
      <x:c r="E13" s="84" t="str">
        <x:v>Unknown</x:v>
      </x:c>
      <x:c r="F13" s="84" t="str">
        <x:v>Representative workload test</x:v>
      </x:c>
    </x:row>
    <x:row r="14">
      <x:c r="A14" s="84" t="str">
        <x:v>DBA-10</x:v>
      </x:c>
      <x:c r="B14" s="84" t="str">
        <x:v>Measured sustained-peak write throughput</x:v>
      </x:c>
      <x:c r="C14" s="95" t="n">
        <x:v>0</x:v>
      </x:c>
      <x:c r="D14" s="84" t="str">
        <x:v>MiB/s</x:v>
      </x:c>
      <x:c r="E14" s="84" t="str">
        <x:v>Unknown</x:v>
      </x:c>
      <x:c r="F14" s="84" t="str">
        <x:v>Representative workload test</x:v>
      </x:c>
    </x:row>
    <x:row r="15">
      <x:c r="A15" s="84" t="str">
        <x:v>DBA-11</x:v>
      </x:c>
      <x:c r="B15" s="84" t="str">
        <x:v>Throughput safety factor</x:v>
      </x:c>
      <x:c r="C15" s="96" t="n">
        <x:v>1.3</x:v>
      </x:c>
      <x:c r="D15" s="84" t="str">
        <x:v>multiplier</x:v>
      </x:c>
      <x:c r="E15" s="84" t="str">
        <x:v>Heuristic</x:v>
      </x:c>
      <x:c r="F15" s="84" t="str">
        <x:v>Approved planning headroom</x:v>
      </x:c>
    </x:row>
    <x:row r="16">
      <x:c r="A16" s="84" t="str">
        <x:v>DBA-12</x:v>
      </x:c>
      <x:c r="B16" s="84" t="str">
        <x:v>Required sustained EBS throughput</x:v>
      </x:c>
      <x:c r="C16" s="97" t="n">
        <x:f>(C13+C14)*C15</x:f>
        <x:v>0</x:v>
      </x:c>
      <x:c r="D16" s="84" t="str">
        <x:v>MiB/s</x:v>
      </x:c>
      <x:c r="E16" s="84" t="str">
        <x:v>Calculated</x:v>
      </x:c>
      <x:c r="F16" s="84" t="str">
        <x:v>Read plus write throughput with safety factor</x:v>
      </x:c>
    </x:row>
    <x:row r="17">
      <x:c r="A17" s="84" t="str">
        <x:v>DBA-13</x:v>
      </x:c>
      <x:c r="B17" s="84" t="str">
        <x:v>Measured peak database network traffic</x:v>
      </x:c>
      <x:c r="C17" s="95" t="n">
        <x:v>0</x:v>
      </x:c>
      <x:c r="D17" s="84" t="str">
        <x:v>MB/s</x:v>
      </x:c>
      <x:c r="E17" s="84" t="str">
        <x:v>Unknown</x:v>
      </x:c>
      <x:c r="F17" s="84" t="str">
        <x:v>Include application and replication traffic</x:v>
      </x:c>
    </x:row>
    <x:row r="18">
      <x:c r="A18" s="84" t="str">
        <x:v>DBA-14</x:v>
      </x:c>
      <x:c r="B18" s="84" t="str">
        <x:v>Network safety factor</x:v>
      </x:c>
      <x:c r="C18" s="96" t="n">
        <x:v>1.3</x:v>
      </x:c>
      <x:c r="D18" s="84" t="str">
        <x:v>multiplier</x:v>
      </x:c>
      <x:c r="E18" s="84" t="str">
        <x:v>Heuristic</x:v>
      </x:c>
      <x:c r="F18" s="84" t="str">
        <x:v>Approved planning headroom</x:v>
      </x:c>
    </x:row>
    <x:row r="19">
      <x:c r="A19" s="84" t="str">
        <x:v>DBA-15</x:v>
      </x:c>
      <x:c r="B19" s="84" t="str">
        <x:v>Required sustained network bandwidth</x:v>
      </x:c>
      <x:c r="C19" s="97" t="n">
        <x:f>C17*8/1000*C18</x:f>
        <x:v>0</x:v>
      </x:c>
      <x:c r="D19" s="84" t="str">
        <x:v>Gbps</x:v>
      </x:c>
      <x:c r="E19" s="84" t="str">
        <x:v>Calculated</x:v>
      </x:c>
      <x:c r="F19" s="84" t="str">
        <x:v>Decimal conversion from MB/s</x:v>
      </x:c>
    </x:row>
    <x:row r="20">
      <x:c r="A20" s="84" t="str">
        <x:v>DBA-16</x:v>
      </x:c>
      <x:c r="B20" s="84" t="str">
        <x:v>vCPU in representative test</x:v>
      </x:c>
      <x:c r="C20" s="95" t="n">
        <x:v>0</x:v>
      </x:c>
      <x:c r="D20" s="84" t="str">
        <x:v>vCPU</x:v>
      </x:c>
      <x:c r="E20" s="84" t="str">
        <x:v>Unknown</x:v>
      </x:c>
      <x:c r="F20" s="84" t="str">
        <x:v>Test configuration</x:v>
      </x:c>
    </x:row>
    <x:row r="21">
      <x:c r="A21" s="84" t="str">
        <x:v>DBA-17</x:v>
      </x:c>
      <x:c r="B21" s="84" t="str">
        <x:v>Observed sustained-peak CPU utilization</x:v>
      </x:c>
      <x:c r="C21" s="87" t="n">
        <x:v>0</x:v>
      </x:c>
      <x:c r="D21" s="84" t="str">
        <x:v>%</x:v>
      </x:c>
      <x:c r="E21" s="84" t="str">
        <x:v>Unknown</x:v>
      </x:c>
      <x:c r="F21" s="84" t="str">
        <x:v>Representative workload test</x:v>
      </x:c>
    </x:row>
    <x:row r="22">
      <x:c r="A22" s="84" t="str">
        <x:v>DBA-18</x:v>
      </x:c>
      <x:c r="B22" s="84" t="str">
        <x:v>Target maximum CPU utilization</x:v>
      </x:c>
      <x:c r="C22" s="87" t="n">
        <x:v>0.7</x:v>
      </x:c>
      <x:c r="D22" s="84" t="str">
        <x:v>%</x:v>
      </x:c>
      <x:c r="E22" s="84" t="str">
        <x:v>Platform standard</x:v>
      </x:c>
      <x:c r="F22" s="84" t="str">
        <x:v>Capacity retained for spikes and failover</x:v>
      </x:c>
    </x:row>
    <x:row r="23">
      <x:c r="A23" s="84" t="str">
        <x:v>DBA-19</x:v>
      </x:c>
      <x:c r="B23" s="84" t="str">
        <x:v>Calculated vCPU requirement</x:v>
      </x:c>
      <x:c r="C23" s="97" t="n">
        <x:f>IF(C22&gt;0,ROUNDUP(C20*C21/C22,0),0)</x:f>
        <x:v>0</x:v>
      </x:c>
      <x:c r="D23" s="84" t="str">
        <x:v>vCPU</x:v>
      </x:c>
      <x:c r="E23" s="84" t="str">
        <x:v>Calculated</x:v>
      </x:c>
      <x:c r="F23" s="84" t="str">
        <x:v>Round upward; validate final instance</x:v>
      </x:c>
    </x:row>
    <x:row r="24">
      <x:c r="A24" s="84" t="str">
        <x:v>DBA-20</x:v>
      </x:c>
      <x:c r="B24" s="84" t="str">
        <x:v>Data-bearing replica-set members</x:v>
      </x:c>
      <x:c r="C24" s="97" t="n">
        <x:f>'Application Inputs'!$C$21</x:f>
        <x:v>3</x:v>
      </x:c>
      <x:c r="D24" s="84" t="str">
        <x:v>members</x:v>
      </x:c>
      <x:c r="E24" s="84" t="str">
        <x:v>Platform standard</x:v>
      </x:c>
      <x:c r="F24" s="84" t="str">
        <x:v>For total storage estimate</x:v>
      </x:c>
    </x:row>
    <x:row r="25">
      <x:c r="A25" s="84" t="str">
        <x:v>DBA-21</x:v>
      </x:c>
      <x:c r="B25" s="84" t="str">
        <x:v>Required disk capacity per node</x:v>
      </x:c>
      <x:c r="C25" s="97" t="n">
        <x:f>INDEX('Projections'!$B$12:$G$12,1,C5+1)</x:f>
        <x:v>28.571428571428573</x:v>
      </x:c>
      <x:c r="D25" s="84" t="str">
        <x:v>GiB</x:v>
      </x:c>
      <x:c r="E25" s="84" t="str">
        <x:v>Calculated</x:v>
      </x:c>
      <x:c r="F25" s="84" t="str">
        <x:v>At selected projection year</x:v>
      </x:c>
    </x:row>
    <x:row r="26">
      <x:c r="A26" s="84" t="str">
        <x:v>DBA-22</x:v>
      </x:c>
      <x:c r="B26" s="84" t="str">
        <x:v>Heuristic host RAM floor</x:v>
      </x:c>
      <x:c r="C26" s="97" t="n">
        <x:f>IF('Application Inputs'!$C$20&gt;0,INDEX('Projections'!$B$10:$G$10,1,C5+1)/'Application Inputs'!$C$20,0)</x:f>
        <x:v>0</x:v>
      </x:c>
      <x:c r="D26" s="84" t="str">
        <x:v>GiB</x:v>
      </x:c>
      <x:c r="E26" s="84" t="str">
        <x:v>Calculated</x:v>
      </x:c>
      <x:c r="F26" s="84" t="str">
        <x:v>Validate with WiredTiger metrics and workload tests</x:v>
      </x:c>
    </x:row>
    <x:row r="27">
      <x:c r="A27" s="84" t="str">
        <x:v>DBA-23</x:v>
      </x:c>
      <x:c r="B27" s="84" t="str">
        <x:v>Total replica data-disk capacity</x:v>
      </x:c>
      <x:c r="C27" s="97" t="n">
        <x:f>C24*C25</x:f>
        <x:v>85.71428571428572</x:v>
      </x:c>
      <x:c r="D27" s="84" t="str">
        <x:v>GiB</x:v>
      </x:c>
      <x:c r="E27" s="84" t="str">
        <x:v>Calculated</x:v>
      </x:c>
      <x:c r="F27" s="84" t="str">
        <x:v>Cost and infrastructure total</x:v>
      </x:c>
    </x:row>
    <x:row r="28">
      <x:c r="A28" s="84" t="str">
        <x:v>DBA-24</x:v>
      </x:c>
      <x:c r="B28" s="84" t="str">
        <x:v>Cross-region DR required</x:v>
      </x:c>
      <x:c r="C28" s="95" t="str">
        <x:v>No</x:v>
      </x:c>
      <x:c r="D28" s="84" t="str">
        <x:v>Yes/No</x:v>
      </x:c>
      <x:c r="E28" s="84" t="str">
        <x:v>Platform standard</x:v>
      </x:c>
      <x:c r="F28" s="84" t="str">
        <x:v>Does not include backup storage</x:v>
      </x:c>
    </x:row>
    <x:row r="29">
      <x:c r="A29" s="84" t="str">
        <x:v>DBA-25</x:v>
      </x:c>
      <x:c r="B29" s="84" t="str">
        <x:v>Sustained peak duration</x:v>
      </x:c>
      <x:c r="C29" s="95" t="n">
        <x:v>60</x:v>
      </x:c>
      <x:c r="D29" s="84" t="str">
        <x:v>minutes</x:v>
      </x:c>
      <x:c r="E29" s="84" t="str">
        <x:v>Measured</x:v>
      </x:c>
      <x:c r="F29" s="84" t="str">
        <x:v>Use baseline EC2 limits for sustained demand</x:v>
      </x:c>
    </x:row>
    <x:row r="30">
      <x:c r="A30" s="84" t="str">
        <x:v>DBA-26</x:v>
      </x:c>
      <x:c r="B30" s="84" t="str">
        <x:v>Selected EC2 instance</x:v>
      </x:c>
      <x:c r="C30" s="95" t="str"/>
      <x:c r="D30" s="84" t="str">
        <x:v>instance type</x:v>
      </x:c>
      <x:c r="E30" s="84" t="str">
        <x:v>DBA decision</x:v>
      </x:c>
      <x:c r="F30" s="84" t="str">
        <x:v>Copy from EC2 Candidates after selection</x:v>
      </x:c>
    </x:row>
    <x:row r="31">
      <x:c r="A31" s="84" t="str">
        <x:v>DBA-27</x:v>
      </x:c>
      <x:c r="B31" s="84" t="str">
        <x:v>Selected EC2 sustained EBS IOPS limit</x:v>
      </x:c>
      <x:c r="C31" s="95" t="n">
        <x:v>0</x:v>
      </x:c>
      <x:c r="D31" s="84" t="str">
        <x:v>IOPS</x:v>
      </x:c>
      <x:c r="E31" s="84" t="str">
        <x:v>AWS specification</x:v>
      </x:c>
      <x:c r="F31" s="84" t="str">
        <x:v>Use baseline for burst-limited instances</x:v>
      </x:c>
    </x:row>
    <x:row r="32">
      <x:c r="A32" s="84" t="str">
        <x:v>DBA-28</x:v>
      </x:c>
      <x:c r="B32" s="84" t="str">
        <x:v>Selected EC2 sustained EBS throughput limit</x:v>
      </x:c>
      <x:c r="C32" s="95" t="n">
        <x:v>0</x:v>
      </x:c>
      <x:c r="D32" s="84" t="str">
        <x:v>MiB/s</x:v>
      </x:c>
      <x:c r="E32" s="84" t="str">
        <x:v>AWS specification</x:v>
      </x:c>
      <x:c r="F32" s="84" t="str">
        <x:v>Use baseline for burst-limited instances</x:v>
      </x:c>
    </x:row>
    <x:row r="33">
      <x:c r="A33" s="84" t="str">
        <x:v>DBA-29</x:v>
      </x:c>
      <x:c r="B33" s="84" t="str">
        <x:v>Selected EC2 sustained network limit</x:v>
      </x:c>
      <x:c r="C33" s="95" t="n">
        <x:v>0</x:v>
      </x:c>
      <x:c r="D33" s="84" t="str">
        <x:v>Gbps</x:v>
      </x:c>
      <x:c r="E33" s="84" t="str">
        <x:v>AWS specification</x:v>
      </x:c>
      <x:c r="F33" s="84" t="str">
        <x:v>Use baseline for burst-limited instances</x:v>
      </x:c>
    </x:row>
  </x:sheetData>
  <x:mergeCells>
    <x:mergeCell ref="A1:F2"/>
  </x:mergeCells>
  <x:dataValidations count="3">
    <x:dataValidation type="list" sqref="C6">
      <x:formula1>"Standard,Enhanced,Custom"</x:formula1>
    </x:dataValidation>
    <x:dataValidation type="list" sqref="C28">
      <x:formula1>"Yes,No"</x:formula1>
    </x:dataValidation>
    <x:dataValidation type="whole" operator="between" sqref="C5">
      <x:formula1>0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21" hidden="0" customWidth="1"/>
    <x:col min="4" max="4" width="21" hidden="0" customWidth="1"/>
    <x:col min="5" max="5" width="21" hidden="0" customWidth="1"/>
    <x:col min="6" max="6" width="16" hidden="0" customWidth="1"/>
    <x:col min="7" max="7" width="16" hidden="0" customWidth="1"/>
    <x:col min="8" max="8" width="16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  <x:col min="13" max="13" width="35" hidden="0" customWidth="1"/>
  </x:cols>
  <x:sheetData>
    <x:row r="1" ht="30" customHeight="1">
      <x:c r="A1" s="72" t="str">
        <x:v>Optional Collection-Level Inputs</x:v>
      </x:c>
      <x:c r="B1" s="72" t="str">
        <x:v>Optional Collection-Level Inputs</x:v>
      </x:c>
      <x:c r="C1" s="72" t="str">
        <x:v>Optional Collection-Level Inputs</x:v>
      </x:c>
      <x:c r="D1" s="72" t="str">
        <x:v>Optional Collection-Level Inputs</x:v>
      </x:c>
      <x:c r="E1" s="72" t="str">
        <x:v>Optional Collection-Level Inputs</x:v>
      </x:c>
      <x:c r="F1" s="72" t="str">
        <x:v>Optional Collection-Level Inputs</x:v>
      </x:c>
      <x:c r="G1" s="72" t="str">
        <x:v>Optional Collection-Level Inputs</x:v>
      </x:c>
      <x:c r="H1" s="72" t="str">
        <x:v>Optional Collection-Level Inputs</x:v>
      </x:c>
      <x:c r="I1" s="72" t="str">
        <x:v>Optional Collection-Level Inputs</x:v>
      </x:c>
      <x:c r="J1" s="72" t="str">
        <x:v>Optional Collection-Level Inputs</x:v>
      </x:c>
      <x:c r="K1" s="72" t="str">
        <x:v>Optional Collection-Level Inputs</x:v>
      </x:c>
      <x:c r="L1" s="72" t="str">
        <x:v>Optional Collection-Level Inputs</x:v>
      </x:c>
      <x:c r="M1" s="72" t="str">
        <x:v>Optional Collection-Level Inputs</x:v>
      </x:c>
    </x:row>
    <x:row r="2" ht="30" customHeight="1">
      <x:c r="A2" s="72" t="str">
        <x:v>Optional Collection-Level Inputs</x:v>
      </x:c>
      <x:c r="B2" s="72" t="str">
        <x:v>Optional Collection-Level Inputs</x:v>
      </x:c>
      <x:c r="C2" s="72" t="str">
        <x:v>Optional Collection-Level Inputs</x:v>
      </x:c>
      <x:c r="D2" s="72" t="str">
        <x:v>Optional Collection-Level Inputs</x:v>
      </x:c>
      <x:c r="E2" s="72" t="str">
        <x:v>Optional Collection-Level Inputs</x:v>
      </x:c>
      <x:c r="F2" s="72" t="str">
        <x:v>Optional Collection-Level Inputs</x:v>
      </x:c>
      <x:c r="G2" s="72" t="str">
        <x:v>Optional Collection-Level Inputs</x:v>
      </x:c>
      <x:c r="H2" s="72" t="str">
        <x:v>Optional Collection-Level Inputs</x:v>
      </x:c>
      <x:c r="I2" s="72" t="str">
        <x:v>Optional Collection-Level Inputs</x:v>
      </x:c>
      <x:c r="J2" s="72" t="str">
        <x:v>Optional Collection-Level Inputs</x:v>
      </x:c>
      <x:c r="K2" s="72" t="str">
        <x:v>Optional Collection-Level Inputs</x:v>
      </x:c>
      <x:c r="L2" s="72" t="str">
        <x:v>Optional Collection-Level Inputs</x:v>
      </x:c>
      <x:c r="M2" s="72" t="str">
        <x:v>Optional Collection-Level Inputs</x:v>
      </x:c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</x:row>
    <x:row r="4">
      <x:c r="A4" s="27" t="str">
        <x:v>Collection label</x:v>
      </x:c>
      <x:c r="B4" s="27" t="str">
        <x:v>Initial documents</x:v>
      </x:c>
      <x:c r="C4" s="27" t="str">
        <x:v>Average logical bytes/document</x:v>
      </x:c>
      <x:c r="D4" s="27" t="str">
        <x:v>Monthly new documents</x:v>
      </x:c>
      <x:c r="E4" s="27" t="str">
        <x:v>Average stored bytes/document</x:v>
      </x:c>
      <x:c r="F4" s="27" t="str">
        <x:v>Index % of stored data</x:v>
      </x:c>
      <x:c r="G4" s="27" t="str">
        <x:v>Hot data %</x:v>
      </x:c>
      <x:c r="H4" s="27" t="str">
        <x:v>Hot index %</x:v>
      </x:c>
      <x:c r="I4" s="27" t="str">
        <x:v>Retention months</x:v>
      </x:c>
      <x:c r="J4" s="27" t="str">
        <x:v>Initial logical GiB</x:v>
      </x:c>
      <x:c r="K4" s="27" t="str">
        <x:v>Initial stored GiB</x:v>
      </x:c>
      <x:c r="L4" s="27" t="str">
        <x:v>Initial index GiB</x:v>
      </x:c>
      <x:c r="M4" s="27" t="str">
        <x:v>Notes</x:v>
      </x:c>
    </x:row>
    <x:row r="5">
      <x:c r="A5" s="86" t="str"/>
      <x:c r="B5" s="88" t="n">
        <x:v>0</x:v>
      </x:c>
      <x:c r="C5" s="88" t="n">
        <x:v>0</x:v>
      </x:c>
      <x:c r="D5" s="88" t="n">
        <x:v>0</x:v>
      </x:c>
      <x:c r="E5" s="88" t="n">
        <x:v>0</x:v>
      </x:c>
      <x:c r="F5" s="87" t="n">
        <x:v>0.25</x:v>
      </x:c>
      <x:c r="G5" s="87" t="n">
        <x:v>0.2</x:v>
      </x:c>
      <x:c r="H5" s="87" t="n">
        <x:v>1</x:v>
      </x:c>
      <x:c r="I5" s="88" t="n">
        <x:v>0</x:v>
      </x:c>
      <x:c r="J5" s="97" t="n">
        <x:f>B5*C5/1073741824</x:f>
        <x:v>0</x:v>
      </x:c>
      <x:c r="K5" s="97" t="n">
        <x:f>B5*E5/1073741824</x:f>
        <x:v>0</x:v>
      </x:c>
      <x:c r="L5" s="97" t="n">
        <x:f>K5*F5</x:f>
        <x:v>0</x:v>
      </x:c>
      <x:c r="M5" s="86" t="str"/>
    </x:row>
    <x:row r="6">
      <x:c r="A6" s="86" t="str"/>
      <x:c r="B6" s="88" t="n">
        <x:v>0</x:v>
      </x:c>
      <x:c r="C6" s="88" t="n">
        <x:v>0</x:v>
      </x:c>
      <x:c r="D6" s="88" t="n">
        <x:v>0</x:v>
      </x:c>
      <x:c r="E6" s="88" t="n">
        <x:v>0</x:v>
      </x:c>
      <x:c r="F6" s="87" t="n">
        <x:v>0.25</x:v>
      </x:c>
      <x:c r="G6" s="87" t="n">
        <x:v>0.2</x:v>
      </x:c>
      <x:c r="H6" s="87" t="n">
        <x:v>1</x:v>
      </x:c>
      <x:c r="I6" s="88" t="n">
        <x:v>0</x:v>
      </x:c>
      <x:c r="J6" s="97" t="n">
        <x:f>B6*C6/1073741824</x:f>
        <x:v>0</x:v>
      </x:c>
      <x:c r="K6" s="97" t="n">
        <x:f>B6*E6/1073741824</x:f>
        <x:v>0</x:v>
      </x:c>
      <x:c r="L6" s="97" t="n">
        <x:f>K6*F6</x:f>
        <x:v>0</x:v>
      </x:c>
      <x:c r="M6" s="86" t="str"/>
    </x:row>
    <x:row r="7">
      <x:c r="A7" s="86" t="str"/>
      <x:c r="B7" s="88" t="n">
        <x:v>0</x:v>
      </x:c>
      <x:c r="C7" s="88" t="n">
        <x:v>0</x:v>
      </x:c>
      <x:c r="D7" s="88" t="n">
        <x:v>0</x:v>
      </x:c>
      <x:c r="E7" s="88" t="n">
        <x:v>0</x:v>
      </x:c>
      <x:c r="F7" s="87" t="n">
        <x:v>0.25</x:v>
      </x:c>
      <x:c r="G7" s="87" t="n">
        <x:v>0.2</x:v>
      </x:c>
      <x:c r="H7" s="87" t="n">
        <x:v>1</x:v>
      </x:c>
      <x:c r="I7" s="88" t="n">
        <x:v>0</x:v>
      </x:c>
      <x:c r="J7" s="97" t="n">
        <x:f>B7*C7/1073741824</x:f>
        <x:v>0</x:v>
      </x:c>
      <x:c r="K7" s="97" t="n">
        <x:f>B7*E7/1073741824</x:f>
        <x:v>0</x:v>
      </x:c>
      <x:c r="L7" s="97" t="n">
        <x:f>K7*F7</x:f>
        <x:v>0</x:v>
      </x:c>
      <x:c r="M7" s="86" t="str"/>
    </x:row>
    <x:row r="8">
      <x:c r="A8" s="86" t="str"/>
      <x:c r="B8" s="88" t="n">
        <x:v>0</x:v>
      </x:c>
      <x:c r="C8" s="88" t="n">
        <x:v>0</x:v>
      </x:c>
      <x:c r="D8" s="88" t="n">
        <x:v>0</x:v>
      </x:c>
      <x:c r="E8" s="88" t="n">
        <x:v>0</x:v>
      </x:c>
      <x:c r="F8" s="87" t="n">
        <x:v>0.25</x:v>
      </x:c>
      <x:c r="G8" s="87" t="n">
        <x:v>0.2</x:v>
      </x:c>
      <x:c r="H8" s="87" t="n">
        <x:v>1</x:v>
      </x:c>
      <x:c r="I8" s="88" t="n">
        <x:v>0</x:v>
      </x:c>
      <x:c r="J8" s="97" t="n">
        <x:f>B8*C8/1073741824</x:f>
        <x:v>0</x:v>
      </x:c>
      <x:c r="K8" s="97" t="n">
        <x:f>B8*E8/1073741824</x:f>
        <x:v>0</x:v>
      </x:c>
      <x:c r="L8" s="97" t="n">
        <x:f>K8*F8</x:f>
        <x:v>0</x:v>
      </x:c>
      <x:c r="M8" s="86" t="str"/>
    </x:row>
    <x:row r="9">
      <x:c r="A9" s="86" t="str"/>
      <x:c r="B9" s="88" t="n">
        <x:v>0</x:v>
      </x:c>
      <x:c r="C9" s="88" t="n">
        <x:v>0</x:v>
      </x:c>
      <x:c r="D9" s="88" t="n">
        <x:v>0</x:v>
      </x:c>
      <x:c r="E9" s="88" t="n">
        <x:v>0</x:v>
      </x:c>
      <x:c r="F9" s="87" t="n">
        <x:v>0.25</x:v>
      </x:c>
      <x:c r="G9" s="87" t="n">
        <x:v>0.2</x:v>
      </x:c>
      <x:c r="H9" s="87" t="n">
        <x:v>1</x:v>
      </x:c>
      <x:c r="I9" s="88" t="n">
        <x:v>0</x:v>
      </x:c>
      <x:c r="J9" s="97" t="n">
        <x:f>B9*C9/1073741824</x:f>
        <x:v>0</x:v>
      </x:c>
      <x:c r="K9" s="97" t="n">
        <x:f>B9*E9/1073741824</x:f>
        <x:v>0</x:v>
      </x:c>
      <x:c r="L9" s="97" t="n">
        <x:f>K9*F9</x:f>
        <x:v>0</x:v>
      </x:c>
      <x:c r="M9" s="86" t="str"/>
    </x:row>
    <x:row r="10">
      <x:c r="A10" s="86" t="str"/>
      <x:c r="B10" s="88" t="n">
        <x:v>0</x:v>
      </x:c>
      <x:c r="C10" s="88" t="n">
        <x:v>0</x:v>
      </x:c>
      <x:c r="D10" s="88" t="n">
        <x:v>0</x:v>
      </x:c>
      <x:c r="E10" s="88" t="n">
        <x:v>0</x:v>
      </x:c>
      <x:c r="F10" s="87" t="n">
        <x:v>0.25</x:v>
      </x:c>
      <x:c r="G10" s="87" t="n">
        <x:v>0.2</x:v>
      </x:c>
      <x:c r="H10" s="87" t="n">
        <x:v>1</x:v>
      </x:c>
      <x:c r="I10" s="88" t="n">
        <x:v>0</x:v>
      </x:c>
      <x:c r="J10" s="97" t="n">
        <x:f>B10*C10/1073741824</x:f>
        <x:v>0</x:v>
      </x:c>
      <x:c r="K10" s="97" t="n">
        <x:f>B10*E10/1073741824</x:f>
        <x:v>0</x:v>
      </x:c>
      <x:c r="L10" s="97" t="n">
        <x:f>K10*F10</x:f>
        <x:v>0</x:v>
      </x:c>
      <x:c r="M10" s="86" t="str"/>
    </x:row>
    <x:row r="11">
      <x:c r="A11" s="86" t="str"/>
      <x:c r="B11" s="88" t="n">
        <x:v>0</x:v>
      </x:c>
      <x:c r="C11" s="88" t="n">
        <x:v>0</x:v>
      </x:c>
      <x:c r="D11" s="88" t="n">
        <x:v>0</x:v>
      </x:c>
      <x:c r="E11" s="88" t="n">
        <x:v>0</x:v>
      </x:c>
      <x:c r="F11" s="87" t="n">
        <x:v>0.25</x:v>
      </x:c>
      <x:c r="G11" s="87" t="n">
        <x:v>0.2</x:v>
      </x:c>
      <x:c r="H11" s="87" t="n">
        <x:v>1</x:v>
      </x:c>
      <x:c r="I11" s="88" t="n">
        <x:v>0</x:v>
      </x:c>
      <x:c r="J11" s="97" t="n">
        <x:f>B11*C11/1073741824</x:f>
        <x:v>0</x:v>
      </x:c>
      <x:c r="K11" s="97" t="n">
        <x:f>B11*E11/1073741824</x:f>
        <x:v>0</x:v>
      </x:c>
      <x:c r="L11" s="97" t="n">
        <x:f>K11*F11</x:f>
        <x:v>0</x:v>
      </x:c>
      <x:c r="M11" s="86" t="str"/>
    </x:row>
    <x:row r="12">
      <x:c r="A12" s="86" t="str"/>
      <x:c r="B12" s="88" t="n">
        <x:v>0</x:v>
      </x:c>
      <x:c r="C12" s="88" t="n">
        <x:v>0</x:v>
      </x:c>
      <x:c r="D12" s="88" t="n">
        <x:v>0</x:v>
      </x:c>
      <x:c r="E12" s="88" t="n">
        <x:v>0</x:v>
      </x:c>
      <x:c r="F12" s="87" t="n">
        <x:v>0.25</x:v>
      </x:c>
      <x:c r="G12" s="87" t="n">
        <x:v>0.2</x:v>
      </x:c>
      <x:c r="H12" s="87" t="n">
        <x:v>1</x:v>
      </x:c>
      <x:c r="I12" s="88" t="n">
        <x:v>0</x:v>
      </x:c>
      <x:c r="J12" s="97" t="n">
        <x:f>B12*C12/1073741824</x:f>
        <x:v>0</x:v>
      </x:c>
      <x:c r="K12" s="97" t="n">
        <x:f>B12*E12/1073741824</x:f>
        <x:v>0</x:v>
      </x:c>
      <x:c r="L12" s="97" t="n">
        <x:f>K12*F12</x:f>
        <x:v>0</x:v>
      </x:c>
      <x:c r="M12" s="86" t="str"/>
    </x:row>
    <x:row r="13">
      <x:c r="A13" s="86" t="str"/>
      <x:c r="B13" s="88" t="n">
        <x:v>0</x:v>
      </x:c>
      <x:c r="C13" s="88" t="n">
        <x:v>0</x:v>
      </x:c>
      <x:c r="D13" s="88" t="n">
        <x:v>0</x:v>
      </x:c>
      <x:c r="E13" s="88" t="n">
        <x:v>0</x:v>
      </x:c>
      <x:c r="F13" s="87" t="n">
        <x:v>0.25</x:v>
      </x:c>
      <x:c r="G13" s="87" t="n">
        <x:v>0.2</x:v>
      </x:c>
      <x:c r="H13" s="87" t="n">
        <x:v>1</x:v>
      </x:c>
      <x:c r="I13" s="88" t="n">
        <x:v>0</x:v>
      </x:c>
      <x:c r="J13" s="97" t="n">
        <x:f>B13*C13/1073741824</x:f>
        <x:v>0</x:v>
      </x:c>
      <x:c r="K13" s="97" t="n">
        <x:f>B13*E13/1073741824</x:f>
        <x:v>0</x:v>
      </x:c>
      <x:c r="L13" s="97" t="n">
        <x:f>K13*F13</x:f>
        <x:v>0</x:v>
      </x:c>
      <x:c r="M13" s="86" t="str"/>
    </x:row>
    <x:row r="14">
      <x:c r="A14" s="86" t="str"/>
      <x:c r="B14" s="88" t="n">
        <x:v>0</x:v>
      </x:c>
      <x:c r="C14" s="88" t="n">
        <x:v>0</x:v>
      </x:c>
      <x:c r="D14" s="88" t="n">
        <x:v>0</x:v>
      </x:c>
      <x:c r="E14" s="88" t="n">
        <x:v>0</x:v>
      </x:c>
      <x:c r="F14" s="87" t="n">
        <x:v>0.25</x:v>
      </x:c>
      <x:c r="G14" s="87" t="n">
        <x:v>0.2</x:v>
      </x:c>
      <x:c r="H14" s="87" t="n">
        <x:v>1</x:v>
      </x:c>
      <x:c r="I14" s="88" t="n">
        <x:v>0</x:v>
      </x:c>
      <x:c r="J14" s="97" t="n">
        <x:f>B14*C14/1073741824</x:f>
        <x:v>0</x:v>
      </x:c>
      <x:c r="K14" s="97" t="n">
        <x:f>B14*E14/1073741824</x:f>
        <x:v>0</x:v>
      </x:c>
      <x:c r="L14" s="97" t="n">
        <x:f>K14*F14</x:f>
        <x:v>0</x:v>
      </x:c>
      <x:c r="M14" s="86" t="str"/>
    </x:row>
    <x:row r="15">
      <x:c r="A15" s="86" t="str"/>
      <x:c r="B15" s="88" t="n">
        <x:v>0</x:v>
      </x:c>
      <x:c r="C15" s="88" t="n">
        <x:v>0</x:v>
      </x:c>
      <x:c r="D15" s="88" t="n">
        <x:v>0</x:v>
      </x:c>
      <x:c r="E15" s="88" t="n">
        <x:v>0</x:v>
      </x:c>
      <x:c r="F15" s="87" t="n">
        <x:v>0.25</x:v>
      </x:c>
      <x:c r="G15" s="87" t="n">
        <x:v>0.2</x:v>
      </x:c>
      <x:c r="H15" s="87" t="n">
        <x:v>1</x:v>
      </x:c>
      <x:c r="I15" s="88" t="n">
        <x:v>0</x:v>
      </x:c>
      <x:c r="J15" s="97" t="n">
        <x:f>B15*C15/1073741824</x:f>
        <x:v>0</x:v>
      </x:c>
      <x:c r="K15" s="97" t="n">
        <x:f>B15*E15/1073741824</x:f>
        <x:v>0</x:v>
      </x:c>
      <x:c r="L15" s="97" t="n">
        <x:f>K15*F15</x:f>
        <x:v>0</x:v>
      </x:c>
      <x:c r="M15" s="86" t="str"/>
    </x:row>
    <x:row r="16">
      <x:c r="A16" s="86" t="str"/>
      <x:c r="B16" s="88" t="n">
        <x:v>0</x:v>
      </x:c>
      <x:c r="C16" s="88" t="n">
        <x:v>0</x:v>
      </x:c>
      <x:c r="D16" s="88" t="n">
        <x:v>0</x:v>
      </x:c>
      <x:c r="E16" s="88" t="n">
        <x:v>0</x:v>
      </x:c>
      <x:c r="F16" s="87" t="n">
        <x:v>0.25</x:v>
      </x:c>
      <x:c r="G16" s="87" t="n">
        <x:v>0.2</x:v>
      </x:c>
      <x:c r="H16" s="87" t="n">
        <x:v>1</x:v>
      </x:c>
      <x:c r="I16" s="88" t="n">
        <x:v>0</x:v>
      </x:c>
      <x:c r="J16" s="97" t="n">
        <x:f>B16*C16/1073741824</x:f>
        <x:v>0</x:v>
      </x:c>
      <x:c r="K16" s="97" t="n">
        <x:f>B16*E16/1073741824</x:f>
        <x:v>0</x:v>
      </x:c>
      <x:c r="L16" s="97" t="n">
        <x:f>K16*F16</x:f>
        <x:v>0</x:v>
      </x:c>
      <x:c r="M16" s="86" t="str"/>
    </x:row>
    <x:row r="17">
      <x:c r="A17" s="86" t="str"/>
      <x:c r="B17" s="88" t="n">
        <x:v>0</x:v>
      </x:c>
      <x:c r="C17" s="88" t="n">
        <x:v>0</x:v>
      </x:c>
      <x:c r="D17" s="88" t="n">
        <x:v>0</x:v>
      </x:c>
      <x:c r="E17" s="88" t="n">
        <x:v>0</x:v>
      </x:c>
      <x:c r="F17" s="87" t="n">
        <x:v>0.25</x:v>
      </x:c>
      <x:c r="G17" s="87" t="n">
        <x:v>0.2</x:v>
      </x:c>
      <x:c r="H17" s="87" t="n">
        <x:v>1</x:v>
      </x:c>
      <x:c r="I17" s="88" t="n">
        <x:v>0</x:v>
      </x:c>
      <x:c r="J17" s="97" t="n">
        <x:f>B17*C17/1073741824</x:f>
        <x:v>0</x:v>
      </x:c>
      <x:c r="K17" s="97" t="n">
        <x:f>B17*E17/1073741824</x:f>
        <x:v>0</x:v>
      </x:c>
      <x:c r="L17" s="97" t="n">
        <x:f>K17*F17</x:f>
        <x:v>0</x:v>
      </x:c>
      <x:c r="M17" s="86" t="str"/>
    </x:row>
    <x:row r="18">
      <x:c r="A18" s="86" t="str"/>
      <x:c r="B18" s="88" t="n">
        <x:v>0</x:v>
      </x:c>
      <x:c r="C18" s="88" t="n">
        <x:v>0</x:v>
      </x:c>
      <x:c r="D18" s="88" t="n">
        <x:v>0</x:v>
      </x:c>
      <x:c r="E18" s="88" t="n">
        <x:v>0</x:v>
      </x:c>
      <x:c r="F18" s="87" t="n">
        <x:v>0.25</x:v>
      </x:c>
      <x:c r="G18" s="87" t="n">
        <x:v>0.2</x:v>
      </x:c>
      <x:c r="H18" s="87" t="n">
        <x:v>1</x:v>
      </x:c>
      <x:c r="I18" s="88" t="n">
        <x:v>0</x:v>
      </x:c>
      <x:c r="J18" s="97" t="n">
        <x:f>B18*C18/1073741824</x:f>
        <x:v>0</x:v>
      </x:c>
      <x:c r="K18" s="97" t="n">
        <x:f>B18*E18/1073741824</x:f>
        <x:v>0</x:v>
      </x:c>
      <x:c r="L18" s="97" t="n">
        <x:f>K18*F18</x:f>
        <x:v>0</x:v>
      </x:c>
      <x:c r="M18" s="86" t="str"/>
    </x:row>
    <x:row r="19">
      <x:c r="A19" s="86" t="str"/>
      <x:c r="B19" s="88" t="n">
        <x:v>0</x:v>
      </x:c>
      <x:c r="C19" s="88" t="n">
        <x:v>0</x:v>
      </x:c>
      <x:c r="D19" s="88" t="n">
        <x:v>0</x:v>
      </x:c>
      <x:c r="E19" s="88" t="n">
        <x:v>0</x:v>
      </x:c>
      <x:c r="F19" s="87" t="n">
        <x:v>0.25</x:v>
      </x:c>
      <x:c r="G19" s="87" t="n">
        <x:v>0.2</x:v>
      </x:c>
      <x:c r="H19" s="87" t="n">
        <x:v>1</x:v>
      </x:c>
      <x:c r="I19" s="88" t="n">
        <x:v>0</x:v>
      </x:c>
      <x:c r="J19" s="97" t="n">
        <x:f>B19*C19/1073741824</x:f>
        <x:v>0</x:v>
      </x:c>
      <x:c r="K19" s="97" t="n">
        <x:f>B19*E19/1073741824</x:f>
        <x:v>0</x:v>
      </x:c>
      <x:c r="L19" s="97" t="n">
        <x:f>K19*F19</x:f>
        <x:v>0</x:v>
      </x:c>
      <x:c r="M19" s="86" t="str"/>
    </x:row>
    <x:row r="20">
      <x:c r="A20" s="86" t="str"/>
      <x:c r="B20" s="88" t="n">
        <x:v>0</x:v>
      </x:c>
      <x:c r="C20" s="88" t="n">
        <x:v>0</x:v>
      </x:c>
      <x:c r="D20" s="88" t="n">
        <x:v>0</x:v>
      </x:c>
      <x:c r="E20" s="88" t="n">
        <x:v>0</x:v>
      </x:c>
      <x:c r="F20" s="87" t="n">
        <x:v>0.25</x:v>
      </x:c>
      <x:c r="G20" s="87" t="n">
        <x:v>0.2</x:v>
      </x:c>
      <x:c r="H20" s="87" t="n">
        <x:v>1</x:v>
      </x:c>
      <x:c r="I20" s="88" t="n">
        <x:v>0</x:v>
      </x:c>
      <x:c r="J20" s="97" t="n">
        <x:f>B20*C20/1073741824</x:f>
        <x:v>0</x:v>
      </x:c>
      <x:c r="K20" s="97" t="n">
        <x:f>B20*E20/1073741824</x:f>
        <x:v>0</x:v>
      </x:c>
      <x:c r="L20" s="97" t="n">
        <x:f>K20*F20</x:f>
        <x:v>0</x:v>
      </x:c>
      <x:c r="M20" s="86" t="str"/>
    </x:row>
    <x:row r="21">
      <x:c r="A21" s="86" t="str"/>
      <x:c r="B21" s="88" t="n">
        <x:v>0</x:v>
      </x:c>
      <x:c r="C21" s="88" t="n">
        <x:v>0</x:v>
      </x:c>
      <x:c r="D21" s="88" t="n">
        <x:v>0</x:v>
      </x:c>
      <x:c r="E21" s="88" t="n">
        <x:v>0</x:v>
      </x:c>
      <x:c r="F21" s="87" t="n">
        <x:v>0.25</x:v>
      </x:c>
      <x:c r="G21" s="87" t="n">
        <x:v>0.2</x:v>
      </x:c>
      <x:c r="H21" s="87" t="n">
        <x:v>1</x:v>
      </x:c>
      <x:c r="I21" s="88" t="n">
        <x:v>0</x:v>
      </x:c>
      <x:c r="J21" s="97" t="n">
        <x:f>B21*C21/1073741824</x:f>
        <x:v>0</x:v>
      </x:c>
      <x:c r="K21" s="97" t="n">
        <x:f>B21*E21/1073741824</x:f>
        <x:v>0</x:v>
      </x:c>
      <x:c r="L21" s="97" t="n">
        <x:f>K21*F21</x:f>
        <x:v>0</x:v>
      </x:c>
      <x:c r="M21" s="86" t="str"/>
    </x:row>
    <x:row r="22">
      <x:c r="A22" s="86" t="str"/>
      <x:c r="B22" s="88" t="n">
        <x:v>0</x:v>
      </x:c>
      <x:c r="C22" s="88" t="n">
        <x:v>0</x:v>
      </x:c>
      <x:c r="D22" s="88" t="n">
        <x:v>0</x:v>
      </x:c>
      <x:c r="E22" s="88" t="n">
        <x:v>0</x:v>
      </x:c>
      <x:c r="F22" s="87" t="n">
        <x:v>0.25</x:v>
      </x:c>
      <x:c r="G22" s="87" t="n">
        <x:v>0.2</x:v>
      </x:c>
      <x:c r="H22" s="87" t="n">
        <x:v>1</x:v>
      </x:c>
      <x:c r="I22" s="88" t="n">
        <x:v>0</x:v>
      </x:c>
      <x:c r="J22" s="97" t="n">
        <x:f>B22*C22/1073741824</x:f>
        <x:v>0</x:v>
      </x:c>
      <x:c r="K22" s="97" t="n">
        <x:f>B22*E22/1073741824</x:f>
        <x:v>0</x:v>
      </x:c>
      <x:c r="L22" s="97" t="n">
        <x:f>K22*F22</x:f>
        <x:v>0</x:v>
      </x:c>
      <x:c r="M22" s="86" t="str"/>
    </x:row>
    <x:row r="23">
      <x:c r="A23" s="86" t="str"/>
      <x:c r="B23" s="88" t="n">
        <x:v>0</x:v>
      </x:c>
      <x:c r="C23" s="88" t="n">
        <x:v>0</x:v>
      </x:c>
      <x:c r="D23" s="88" t="n">
        <x:v>0</x:v>
      </x:c>
      <x:c r="E23" s="88" t="n">
        <x:v>0</x:v>
      </x:c>
      <x:c r="F23" s="87" t="n">
        <x:v>0.25</x:v>
      </x:c>
      <x:c r="G23" s="87" t="n">
        <x:v>0.2</x:v>
      </x:c>
      <x:c r="H23" s="87" t="n">
        <x:v>1</x:v>
      </x:c>
      <x:c r="I23" s="88" t="n">
        <x:v>0</x:v>
      </x:c>
      <x:c r="J23" s="97" t="n">
        <x:f>B23*C23/1073741824</x:f>
        <x:v>0</x:v>
      </x:c>
      <x:c r="K23" s="97" t="n">
        <x:f>B23*E23/1073741824</x:f>
        <x:v>0</x:v>
      </x:c>
      <x:c r="L23" s="97" t="n">
        <x:f>K23*F23</x:f>
        <x:v>0</x:v>
      </x:c>
      <x:c r="M23" s="86" t="str"/>
    </x:row>
    <x:row r="24">
      <x:c r="A24" s="86" t="str"/>
      <x:c r="B24" s="88" t="n">
        <x:v>0</x:v>
      </x:c>
      <x:c r="C24" s="88" t="n">
        <x:v>0</x:v>
      </x:c>
      <x:c r="D24" s="88" t="n">
        <x:v>0</x:v>
      </x:c>
      <x:c r="E24" s="88" t="n">
        <x:v>0</x:v>
      </x:c>
      <x:c r="F24" s="87" t="n">
        <x:v>0.25</x:v>
      </x:c>
      <x:c r="G24" s="87" t="n">
        <x:v>0.2</x:v>
      </x:c>
      <x:c r="H24" s="87" t="n">
        <x:v>1</x:v>
      </x:c>
      <x:c r="I24" s="88" t="n">
        <x:v>0</x:v>
      </x:c>
      <x:c r="J24" s="97" t="n">
        <x:f>B24*C24/1073741824</x:f>
        <x:v>0</x:v>
      </x:c>
      <x:c r="K24" s="97" t="n">
        <x:f>B24*E24/1073741824</x:f>
        <x:v>0</x:v>
      </x:c>
      <x:c r="L24" s="97" t="n">
        <x:f>K24*F24</x:f>
        <x:v>0</x:v>
      </x:c>
      <x:c r="M24" s="86" t="str"/>
    </x:row>
    <x:row r="25">
      <x:c r="A25" s="86" t="str"/>
      <x:c r="B25" s="88" t="n">
        <x:v>0</x:v>
      </x:c>
      <x:c r="C25" s="88" t="n">
        <x:v>0</x:v>
      </x:c>
      <x:c r="D25" s="88" t="n">
        <x:v>0</x:v>
      </x:c>
      <x:c r="E25" s="88" t="n">
        <x:v>0</x:v>
      </x:c>
      <x:c r="F25" s="87" t="n">
        <x:v>0.25</x:v>
      </x:c>
      <x:c r="G25" s="87" t="n">
        <x:v>0.2</x:v>
      </x:c>
      <x:c r="H25" s="87" t="n">
        <x:v>1</x:v>
      </x:c>
      <x:c r="I25" s="88" t="n">
        <x:v>0</x:v>
      </x:c>
      <x:c r="J25" s="97" t="n">
        <x:f>B25*C25/1073741824</x:f>
        <x:v>0</x:v>
      </x:c>
      <x:c r="K25" s="97" t="n">
        <x:f>B25*E25/1073741824</x:f>
        <x:v>0</x:v>
      </x:c>
      <x:c r="L25" s="97" t="n">
        <x:f>K25*F25</x:f>
        <x:v>0</x:v>
      </x:c>
      <x:c r="M25" s="86" t="str"/>
    </x:row>
    <x:row r="26">
      <x:c r="A26" s="86" t="str"/>
      <x:c r="B26" s="88" t="n">
        <x:v>0</x:v>
      </x:c>
      <x:c r="C26" s="88" t="n">
        <x:v>0</x:v>
      </x:c>
      <x:c r="D26" s="88" t="n">
        <x:v>0</x:v>
      </x:c>
      <x:c r="E26" s="88" t="n">
        <x:v>0</x:v>
      </x:c>
      <x:c r="F26" s="87" t="n">
        <x:v>0.25</x:v>
      </x:c>
      <x:c r="G26" s="87" t="n">
        <x:v>0.2</x:v>
      </x:c>
      <x:c r="H26" s="87" t="n">
        <x:v>1</x:v>
      </x:c>
      <x:c r="I26" s="88" t="n">
        <x:v>0</x:v>
      </x:c>
      <x:c r="J26" s="97" t="n">
        <x:f>B26*C26/1073741824</x:f>
        <x:v>0</x:v>
      </x:c>
      <x:c r="K26" s="97" t="n">
        <x:f>B26*E26/1073741824</x:f>
        <x:v>0</x:v>
      </x:c>
      <x:c r="L26" s="97" t="n">
        <x:f>K26*F26</x:f>
        <x:v>0</x:v>
      </x:c>
      <x:c r="M26" s="86" t="str"/>
    </x:row>
    <x:row r="27">
      <x:c r="A27" s="86" t="str"/>
      <x:c r="B27" s="88" t="n">
        <x:v>0</x:v>
      </x:c>
      <x:c r="C27" s="88" t="n">
        <x:v>0</x:v>
      </x:c>
      <x:c r="D27" s="88" t="n">
        <x:v>0</x:v>
      </x:c>
      <x:c r="E27" s="88" t="n">
        <x:v>0</x:v>
      </x:c>
      <x:c r="F27" s="87" t="n">
        <x:v>0.25</x:v>
      </x:c>
      <x:c r="G27" s="87" t="n">
        <x:v>0.2</x:v>
      </x:c>
      <x:c r="H27" s="87" t="n">
        <x:v>1</x:v>
      </x:c>
      <x:c r="I27" s="88" t="n">
        <x:v>0</x:v>
      </x:c>
      <x:c r="J27" s="97" t="n">
        <x:f>B27*C27/1073741824</x:f>
        <x:v>0</x:v>
      </x:c>
      <x:c r="K27" s="97" t="n">
        <x:f>B27*E27/1073741824</x:f>
        <x:v>0</x:v>
      </x:c>
      <x:c r="L27" s="97" t="n">
        <x:f>K27*F27</x:f>
        <x:v>0</x:v>
      </x:c>
      <x:c r="M27" s="86" t="str"/>
    </x:row>
    <x:row r="28">
      <x:c r="A28" s="86" t="str"/>
      <x:c r="B28" s="88" t="n">
        <x:v>0</x:v>
      </x:c>
      <x:c r="C28" s="88" t="n">
        <x:v>0</x:v>
      </x:c>
      <x:c r="D28" s="88" t="n">
        <x:v>0</x:v>
      </x:c>
      <x:c r="E28" s="88" t="n">
        <x:v>0</x:v>
      </x:c>
      <x:c r="F28" s="87" t="n">
        <x:v>0.25</x:v>
      </x:c>
      <x:c r="G28" s="87" t="n">
        <x:v>0.2</x:v>
      </x:c>
      <x:c r="H28" s="87" t="n">
        <x:v>1</x:v>
      </x:c>
      <x:c r="I28" s="88" t="n">
        <x:v>0</x:v>
      </x:c>
      <x:c r="J28" s="97" t="n">
        <x:f>B28*C28/1073741824</x:f>
        <x:v>0</x:v>
      </x:c>
      <x:c r="K28" s="97" t="n">
        <x:f>B28*E28/1073741824</x:f>
        <x:v>0</x:v>
      </x:c>
      <x:c r="L28" s="97" t="n">
        <x:f>K28*F28</x:f>
        <x:v>0</x:v>
      </x:c>
      <x:c r="M28" s="86" t="str"/>
    </x:row>
    <x:row r="29">
      <x:c r="A29" s="86" t="str"/>
      <x:c r="B29" s="88" t="n">
        <x:v>0</x:v>
      </x:c>
      <x:c r="C29" s="88" t="n">
        <x:v>0</x:v>
      </x:c>
      <x:c r="D29" s="88" t="n">
        <x:v>0</x:v>
      </x:c>
      <x:c r="E29" s="88" t="n">
        <x:v>0</x:v>
      </x:c>
      <x:c r="F29" s="87" t="n">
        <x:v>0.25</x:v>
      </x:c>
      <x:c r="G29" s="87" t="n">
        <x:v>0.2</x:v>
      </x:c>
      <x:c r="H29" s="87" t="n">
        <x:v>1</x:v>
      </x:c>
      <x:c r="I29" s="88" t="n">
        <x:v>0</x:v>
      </x:c>
      <x:c r="J29" s="97" t="n">
        <x:f>B29*C29/1073741824</x:f>
        <x:v>0</x:v>
      </x:c>
      <x:c r="K29" s="97" t="n">
        <x:f>B29*E29/1073741824</x:f>
        <x:v>0</x:v>
      </x:c>
      <x:c r="L29" s="97" t="n">
        <x:f>K29*F29</x:f>
        <x:v>0</x:v>
      </x:c>
      <x:c r="M29" s="86" t="str"/>
    </x:row>
  </x:sheetData>
  <x:mergeCells>
    <x:mergeCell ref="A1:M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</x:cols>
  <x:sheetData>
    <x:row r="1" ht="30" customHeight="1">
      <x:c r="A1" s="72" t="str">
        <x:v>Five-Year Capacity Projection</x:v>
      </x:c>
      <x:c r="B1" s="72" t="str">
        <x:v>Five-Year Capacity Projection</x:v>
      </x:c>
      <x:c r="C1" s="72" t="str">
        <x:v>Five-Year Capacity Projection</x:v>
      </x:c>
      <x:c r="D1" s="72" t="str">
        <x:v>Five-Year Capacity Projection</x:v>
      </x:c>
      <x:c r="E1" s="72" t="str">
        <x:v>Five-Year Capacity Projection</x:v>
      </x:c>
      <x:c r="F1" s="72" t="str">
        <x:v>Five-Year Capacity Projection</x:v>
      </x:c>
      <x:c r="G1" s="72" t="str">
        <x:v>Five-Year Capacity Projection</x:v>
      </x:c>
      <x:c r="H1" s="72" t="str">
        <x:v>Five-Year Capacity Projection</x:v>
      </x:c>
    </x:row>
    <x:row r="2" ht="30" customHeight="1">
      <x:c r="A2" s="72" t="str">
        <x:v>Five-Year Capacity Projection</x:v>
      </x:c>
      <x:c r="B2" s="72" t="str">
        <x:v>Five-Year Capacity Projection</x:v>
      </x:c>
      <x:c r="C2" s="72" t="str">
        <x:v>Five-Year Capacity Projection</x:v>
      </x:c>
      <x:c r="D2" s="72" t="str">
        <x:v>Five-Year Capacity Projection</x:v>
      </x:c>
      <x:c r="E2" s="72" t="str">
        <x:v>Five-Year Capacity Projection</x:v>
      </x:c>
      <x:c r="F2" s="72" t="str">
        <x:v>Five-Year Capacity Projection</x:v>
      </x:c>
      <x:c r="G2" s="72" t="str">
        <x:v>Five-Year Capacity Projection</x:v>
      </x:c>
      <x:c r="H2" s="72" t="str">
        <x:v>Five-Year Capacity Projection</x:v>
      </x:c>
    </x:row>
    <x:row r="3">
      <x:c r="A3" s="73"/>
      <x:c r="B3" s="73"/>
      <x:c r="C3" s="73"/>
      <x:c r="D3" s="73"/>
      <x:c r="E3" s="73"/>
      <x:c r="F3" s="73"/>
      <x:c r="G3" s="73"/>
      <x:c r="H3" s="73"/>
    </x:row>
    <x:row r="4">
      <x:c r="A4" s="27" t="str">
        <x:v>Metric</x:v>
      </x:c>
      <x:c r="B4" s="98" t="n">
        <x:v>0</x:v>
      </x:c>
      <x:c r="C4" s="98" t="n">
        <x:v>1</x:v>
      </x:c>
      <x:c r="D4" s="98" t="n">
        <x:v>2</x:v>
      </x:c>
      <x:c r="E4" s="98" t="n">
        <x:v>3</x:v>
      </x:c>
      <x:c r="F4" s="98" t="n">
        <x:v>4</x:v>
      </x:c>
      <x:c r="G4" s="98" t="n">
        <x:v>5</x:v>
      </x:c>
      <x:c r="H4" s="27" t="str">
        <x:v>Unit</x:v>
      </x:c>
    </x:row>
    <x:row r="5">
      <x:c r="A5" s="84" t="str">
        <x:v>Projected logical data</x:v>
      </x:c>
      <x:c r="B5" s="97" t="n">
        <x:f>'Application Inputs'!C5</x:f>
        <x:v>0</x:v>
      </x:c>
      <x:c r="C5" s="97" t="n">
        <x:f>IF('Application Inputs'!$C$10="Compound",'Application Inputs'!$C$5*(1+'Application Inputs'!$C$9)^C$4,'Application Inputs'!$C$5+'Application Inputs'!$C$8*12*C$4)</x:f>
        <x:v>0</x:v>
      </x:c>
      <x:c r="D5" s="97" t="n">
        <x:f>IF('Application Inputs'!$C$10="Compound",'Application Inputs'!$C$5*(1+'Application Inputs'!$C$9)^D$4,'Application Inputs'!$C$5+'Application Inputs'!$C$8*12*D$4)</x:f>
        <x:v>0</x:v>
      </x:c>
      <x:c r="E5" s="97" t="n">
        <x:f>IF('Application Inputs'!$C$10="Compound",'Application Inputs'!$C$5*(1+'Application Inputs'!$C$9)^E$4,'Application Inputs'!$C$5+'Application Inputs'!$C$8*12*E$4)</x:f>
        <x:v>0</x:v>
      </x:c>
      <x:c r="F5" s="97" t="n">
        <x:f>IF('Application Inputs'!$C$10="Compound",'Application Inputs'!$C$5*(1+'Application Inputs'!$C$9)^F$4,'Application Inputs'!$C$5+'Application Inputs'!$C$8*12*F$4)</x:f>
        <x:v>0</x:v>
      </x:c>
      <x:c r="G5" s="97" t="n">
        <x:f>IF('Application Inputs'!$C$10="Compound",'Application Inputs'!$C$5*(1+'Application Inputs'!$C$9)^G$4,'Application Inputs'!$C$5+'Application Inputs'!$C$8*12*G$4)</x:f>
        <x:v>0</x:v>
      </x:c>
      <x:c r="H5" s="84" t="str">
        <x:v>GiB</x:v>
      </x:c>
    </x:row>
    <x:row r="6">
      <x:c r="A6" s="84" t="str">
        <x:v>Projected stored collection data</x:v>
      </x:c>
      <x:c r="B6" s="97" t="n">
        <x:f>IF(AND(B$4=0,'Application Inputs'!$C$6&gt;0),'Application Inputs'!$C$6,B5*'Application Inputs'!$C$11)</x:f>
        <x:v>0</x:v>
      </x:c>
      <x:c r="C6" s="97" t="n">
        <x:f>IF(AND(C$4=0,'Application Inputs'!$C$6&gt;0),'Application Inputs'!$C$6,C5*'Application Inputs'!$C$11)</x:f>
        <x:v>0</x:v>
      </x:c>
      <x:c r="D6" s="97" t="n">
        <x:f>IF(AND(D$4=0,'Application Inputs'!$C$6&gt;0),'Application Inputs'!$C$6,D5*'Application Inputs'!$C$11)</x:f>
        <x:v>0</x:v>
      </x:c>
      <x:c r="E6" s="97" t="n">
        <x:f>IF(AND(E$4=0,'Application Inputs'!$C$6&gt;0),'Application Inputs'!$C$6,E5*'Application Inputs'!$C$11)</x:f>
        <x:v>0</x:v>
      </x:c>
      <x:c r="F6" s="97" t="n">
        <x:f>IF(AND(F$4=0,'Application Inputs'!$C$6&gt;0),'Application Inputs'!$C$6,F5*'Application Inputs'!$C$11)</x:f>
        <x:v>0</x:v>
      </x:c>
      <x:c r="G6" s="97" t="n">
        <x:f>IF(AND(G$4=0,'Application Inputs'!$C$6&gt;0),'Application Inputs'!$C$6,G5*'Application Inputs'!$C$11)</x:f>
        <x:v>0</x:v>
      </x:c>
      <x:c r="H6" s="84" t="str">
        <x:v>GiB</x:v>
      </x:c>
    </x:row>
    <x:row r="7">
      <x:c r="A7" s="84" t="str">
        <x:v>Projected index data</x:v>
      </x:c>
      <x:c r="B7" s="97" t="n">
        <x:f>IF(AND(B$4=0,'Application Inputs'!$C$7&gt;0),'Application Inputs'!$C$7,B6*'Application Inputs'!$C$12)</x:f>
        <x:v>0</x:v>
      </x:c>
      <x:c r="C7" s="97" t="n">
        <x:f>IF(AND(C$4=0,'Application Inputs'!$C$7&gt;0),'Application Inputs'!$C$7,C6*'Application Inputs'!$C$12)</x:f>
        <x:v>0</x:v>
      </x:c>
      <x:c r="D7" s="97" t="n">
        <x:f>IF(AND(D$4=0,'Application Inputs'!$C$7&gt;0),'Application Inputs'!$C$7,D6*'Application Inputs'!$C$12)</x:f>
        <x:v>0</x:v>
      </x:c>
      <x:c r="E7" s="97" t="n">
        <x:f>IF(AND(E$4=0,'Application Inputs'!$C$7&gt;0),'Application Inputs'!$C$7,E6*'Application Inputs'!$C$12)</x:f>
        <x:v>0</x:v>
      </x:c>
      <x:c r="F7" s="97" t="n">
        <x:f>IF(AND(F$4=0,'Application Inputs'!$C$7&gt;0),'Application Inputs'!$C$7,F6*'Application Inputs'!$C$12)</x:f>
        <x:v>0</x:v>
      </x:c>
      <x:c r="G7" s="97" t="n">
        <x:f>IF(AND(G$4=0,'Application Inputs'!$C$7&gt;0),'Application Inputs'!$C$7,G6*'Application Inputs'!$C$12)</x:f>
        <x:v>0</x:v>
      </x:c>
      <x:c r="H7" s="84" t="str">
        <x:v>GiB</x:v>
      </x:c>
    </x:row>
    <x:row r="8">
      <x:c r="A8" s="84" t="str">
        <x:v>Hot collection working set</x:v>
      </x:c>
      <x:c r="B8" s="97" t="n">
        <x:f>B6*'Application Inputs'!$C$13</x:f>
        <x:v>0</x:v>
      </x:c>
      <x:c r="C8" s="97" t="n">
        <x:f>C6*'Application Inputs'!$C$13</x:f>
        <x:v>0</x:v>
      </x:c>
      <x:c r="D8" s="97" t="n">
        <x:f>D6*'Application Inputs'!$C$13</x:f>
        <x:v>0</x:v>
      </x:c>
      <x:c r="E8" s="97" t="n">
        <x:f>E6*'Application Inputs'!$C$13</x:f>
        <x:v>0</x:v>
      </x:c>
      <x:c r="F8" s="97" t="n">
        <x:f>F6*'Application Inputs'!$C$13</x:f>
        <x:v>0</x:v>
      </x:c>
      <x:c r="G8" s="97" t="n">
        <x:f>G6*'Application Inputs'!$C$13</x:f>
        <x:v>0</x:v>
      </x:c>
      <x:c r="H8" s="84" t="str">
        <x:v>GiB</x:v>
      </x:c>
    </x:row>
    <x:row r="9">
      <x:c r="A9" s="84" t="str">
        <x:v>Hot index working set</x:v>
      </x:c>
      <x:c r="B9" s="97" t="n">
        <x:f>B7*'Application Inputs'!$C$14</x:f>
        <x:v>0</x:v>
      </x:c>
      <x:c r="C9" s="97" t="n">
        <x:f>C7*'Application Inputs'!$C$14</x:f>
        <x:v>0</x:v>
      </x:c>
      <x:c r="D9" s="97" t="n">
        <x:f>D7*'Application Inputs'!$C$14</x:f>
        <x:v>0</x:v>
      </x:c>
      <x:c r="E9" s="97" t="n">
        <x:f>E7*'Application Inputs'!$C$14</x:f>
        <x:v>0</x:v>
      </x:c>
      <x:c r="F9" s="97" t="n">
        <x:f>F7*'Application Inputs'!$C$14</x:f>
        <x:v>0</x:v>
      </x:c>
      <x:c r="G9" s="97" t="n">
        <x:f>G7*'Application Inputs'!$C$14</x:f>
        <x:v>0</x:v>
      </x:c>
      <x:c r="H9" s="84" t="str">
        <x:v>GiB</x:v>
      </x:c>
    </x:row>
    <x:row r="10">
      <x:c r="A10" s="84" t="str">
        <x:v>Total hot working set</x:v>
      </x:c>
      <x:c r="B10" s="97" t="n">
        <x:f>B8+B9</x:f>
        <x:v>0</x:v>
      </x:c>
      <x:c r="C10" s="97" t="n">
        <x:f>C8+C9</x:f>
        <x:v>0</x:v>
      </x:c>
      <x:c r="D10" s="97" t="n">
        <x:f>D8+D9</x:f>
        <x:v>0</x:v>
      </x:c>
      <x:c r="E10" s="97" t="n">
        <x:f>E8+E9</x:f>
        <x:v>0</x:v>
      </x:c>
      <x:c r="F10" s="97" t="n">
        <x:f>F8+F9</x:f>
        <x:v>0</x:v>
      </x:c>
      <x:c r="G10" s="97" t="n">
        <x:f>G8+G9</x:f>
        <x:v>0</x:v>
      </x:c>
      <x:c r="H10" s="84" t="str">
        <x:v>GiB</x:v>
      </x:c>
    </x:row>
    <x:row r="11">
      <x:c r="A11" s="84" t="str">
        <x:v>Required oplog capacity</x:v>
      </x:c>
      <x:c r="B11" s="97" t="n">
        <x:f>'Application Inputs'!$C$16*'Application Inputs'!$C$17*'Application Inputs'!$C$18</x:f>
        <x:v>0</x:v>
      </x:c>
      <x:c r="C11" s="97" t="n">
        <x:f>'Application Inputs'!$C$16*'Application Inputs'!$C$17*'Application Inputs'!$C$18</x:f>
        <x:v>0</x:v>
      </x:c>
      <x:c r="D11" s="97" t="n">
        <x:f>'Application Inputs'!$C$16*'Application Inputs'!$C$17*'Application Inputs'!$C$18</x:f>
        <x:v>0</x:v>
      </x:c>
      <x:c r="E11" s="97" t="n">
        <x:f>'Application Inputs'!$C$16*'Application Inputs'!$C$17*'Application Inputs'!$C$18</x:f>
        <x:v>0</x:v>
      </x:c>
      <x:c r="F11" s="97" t="n">
        <x:f>'Application Inputs'!$C$16*'Application Inputs'!$C$17*'Application Inputs'!$C$18</x:f>
        <x:v>0</x:v>
      </x:c>
      <x:c r="G11" s="97" t="n">
        <x:f>'Application Inputs'!$C$16*'Application Inputs'!$C$17*'Application Inputs'!$C$18</x:f>
        <x:v>0</x:v>
      </x:c>
      <x:c r="H11" s="84" t="str">
        <x:v>GiB</x:v>
      </x:c>
    </x:row>
    <x:row r="12">
      <x:c r="A12" s="84" t="str">
        <x:v>Required disk per node</x:v>
      </x:c>
      <x:c r="B12" s="97" t="n">
        <x:f>(B6+B7+B11+'Application Inputs'!$C$19)/(1-'Application Inputs'!$C$15)</x:f>
        <x:v>28.571428571428573</x:v>
      </x:c>
      <x:c r="C12" s="97" t="n">
        <x:f>(C6+C7+C11+'Application Inputs'!$C$19)/(1-'Application Inputs'!$C$15)</x:f>
        <x:v>28.571428571428573</x:v>
      </x:c>
      <x:c r="D12" s="97" t="n">
        <x:f>(D6+D7+D11+'Application Inputs'!$C$19)/(1-'Application Inputs'!$C$15)</x:f>
        <x:v>28.571428571428573</x:v>
      </x:c>
      <x:c r="E12" s="97" t="n">
        <x:f>(E6+E7+E11+'Application Inputs'!$C$19)/(1-'Application Inputs'!$C$15)</x:f>
        <x:v>28.571428571428573</x:v>
      </x:c>
      <x:c r="F12" s="97" t="n">
        <x:f>(F6+F7+F11+'Application Inputs'!$C$19)/(1-'Application Inputs'!$C$15)</x:f>
        <x:v>28.571428571428573</x:v>
      </x:c>
      <x:c r="G12" s="97" t="n">
        <x:f>(G6+G7+G11+'Application Inputs'!$C$19)/(1-'Application Inputs'!$C$15)</x:f>
        <x:v>28.571428571428573</x:v>
      </x:c>
      <x:c r="H12" s="84" t="str">
        <x:v>GiB</x:v>
      </x:c>
    </x:row>
    <x:row r="13">
      <x:c r="A13" s="73"/>
      <x:c r="B13" s="73"/>
      <x:c r="C13" s="73"/>
      <x:c r="D13" s="73"/>
      <x:c r="E13" s="73"/>
      <x:c r="F13" s="73"/>
      <x:c r="G13" s="73"/>
      <x:c r="H13" s="73"/>
    </x:row>
    <x:row r="14">
      <x:c r="A14" s="99" t="str">
        <x:v>The projection uses the selected growth model. Stored-data and index ratios remain constant unless the workbook is revised with measured values.</x:v>
      </x:c>
      <x:c r="B14" s="99"/>
      <x:c r="C14" s="99"/>
      <x:c r="D14" s="99"/>
      <x:c r="E14" s="99"/>
      <x:c r="F14" s="99"/>
      <x:c r="G14" s="99"/>
      <x:c r="H14" s="99"/>
    </x:row>
  </x:sheetData>
  <x:mergeCells>
    <x:mergeCell ref="A1:H2"/>
    <x:mergeCell ref="A14:H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3" hidden="0" customWidth="1"/>
    <x:col min="3" max="3" width="70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72" t="str">
        <x:v>Sizing Summary</x:v>
      </x:c>
      <x:c r="B1" s="72" t="str">
        <x:v>Sizing Summary</x:v>
      </x:c>
      <x:c r="C1" s="72" t="str">
        <x:v>Sizing Summary</x:v>
      </x:c>
      <x:c r="D1" s="72" t="str">
        <x:v>Sizing Summary</x:v>
      </x:c>
      <x:c r="E1" s="72" t="str">
        <x:v>Sizing Summary</x:v>
      </x:c>
      <x:c r="F1" s="72" t="str">
        <x:v>Sizing Summary</x:v>
      </x:c>
    </x:row>
    <x:row r="2" ht="30" customHeight="1">
      <x:c r="A2" s="72" t="str">
        <x:v>Sizing Summary</x:v>
      </x:c>
      <x:c r="B2" s="72" t="str">
        <x:v>Sizing Summary</x:v>
      </x:c>
      <x:c r="C2" s="72" t="str">
        <x:v>Sizing Summary</x:v>
      </x:c>
      <x:c r="D2" s="72" t="str">
        <x:v>Sizing Summary</x:v>
      </x:c>
      <x:c r="E2" s="72" t="str">
        <x:v>Sizing Summary</x:v>
      </x:c>
      <x:c r="F2" s="72" t="str">
        <x:v>Sizing Summary</x:v>
      </x:c>
    </x:row>
    <x:row r="3">
      <x:c r="A3" s="73"/>
      <x:c r="B3" s="73"/>
      <x:c r="C3" s="73"/>
      <x:c r="D3" s="73"/>
      <x:c r="E3" s="73"/>
      <x:c r="F3" s="73"/>
    </x:row>
    <x:row r="4">
      <x:c r="A4" s="27" t="str">
        <x:v>Capacity output</x:v>
      </x:c>
      <x:c r="B4" s="27" t="str">
        <x:v>Year 3 estimate</x:v>
      </x:c>
      <x:c r="C4" s="27" t="str">
        <x:v>Interpretation</x:v>
      </x:c>
      <x:c r="D4" s="73"/>
      <x:c r="E4" s="73"/>
      <x:c r="F4" s="73"/>
    </x:row>
    <x:row r="5">
      <x:c r="A5" s="84" t="str">
        <x:v>Logical data</x:v>
      </x:c>
      <x:c r="B5" s="97" t="n">
        <x:f>'Projections'!E5</x:f>
        <x:v>0</x:v>
      </x:c>
      <x:c r="C5" s="84" t="str">
        <x:v>Application growth projection</x:v>
      </x:c>
      <x:c r="D5" s="73"/>
      <x:c r="E5" s="73"/>
      <x:c r="F5" s="73"/>
    </x:row>
    <x:row r="6">
      <x:c r="A6" s="84" t="str">
        <x:v>Stored collection data</x:v>
      </x:c>
      <x:c r="B6" s="97" t="n">
        <x:f>'Projections'!E6</x:f>
        <x:v>0</x:v>
      </x:c>
      <x:c r="C6" s="84" t="str">
        <x:v>After storage-ratio assumption</x:v>
      </x:c>
      <x:c r="D6" s="73"/>
      <x:c r="E6" s="73"/>
      <x:c r="F6" s="73"/>
    </x:row>
    <x:row r="7">
      <x:c r="A7" s="84" t="str">
        <x:v>Index data</x:v>
      </x:c>
      <x:c r="B7" s="97" t="n">
        <x:f>'Projections'!E7</x:f>
        <x:v>0</x:v>
      </x:c>
      <x:c r="C7" s="84" t="str">
        <x:v>Separate from collection data</x:v>
      </x:c>
      <x:c r="D7" s="73"/>
      <x:c r="E7" s="73"/>
      <x:c r="F7" s="73"/>
    </x:row>
    <x:row r="8">
      <x:c r="A8" s="84" t="str">
        <x:v>Hot working set</x:v>
      </x:c>
      <x:c r="B8" s="97" t="n">
        <x:f>'Projections'!E10</x:f>
        <x:v>0</x:v>
      </x:c>
      <x:c r="C8" s="84" t="str">
        <x:v>Hot stored data plus hot indexes</x:v>
      </x:c>
      <x:c r="D8" s="73"/>
      <x:c r="E8" s="73"/>
      <x:c r="F8" s="73"/>
    </x:row>
    <x:row r="9">
      <x:c r="A9" s="84" t="str">
        <x:v>Heuristic host RAM floor</x:v>
      </x:c>
      <x:c r="B9" s="97" t="n">
        <x:f>IF('Application Inputs'!C20&gt;0,B8/'Application Inputs'!C20,0)</x:f>
        <x:v>0</x:v>
      </x:c>
      <x:c r="C9" s="84" t="str">
        <x:v>Planning heuristic only; validate cache and latency under load</x:v>
      </x:c>
      <x:c r="D9" s="73"/>
      <x:c r="E9" s="73"/>
      <x:c r="F9" s="73"/>
    </x:row>
    <x:row r="10">
      <x:c r="A10" s="84" t="str">
        <x:v>Oplog capacity</x:v>
      </x:c>
      <x:c r="B10" s="97" t="n">
        <x:f>'Projections'!E11</x:f>
        <x:v>0</x:v>
      </x:c>
      <x:c r="C10" s="84" t="str">
        <x:v>Peak rate × window × safety factor</x:v>
      </x:c>
      <x:c r="D10" s="73"/>
      <x:c r="E10" s="73"/>
      <x:c r="F10" s="73"/>
    </x:row>
    <x:row r="11">
      <x:c r="A11" s="84" t="str">
        <x:v>Disk capacity per node</x:v>
      </x:c>
      <x:c r="B11" s="97" t="n">
        <x:f>'Projections'!E12</x:f>
        <x:v>28.571428571428573</x:v>
      </x:c>
      <x:c r="C11" s="84" t="str">
        <x:v>Includes headroom and operational reserve</x:v>
      </x:c>
      <x:c r="D11" s="73"/>
      <x:c r="E11" s="73"/>
      <x:c r="F11" s="73"/>
    </x:row>
    <x:row r="12">
      <x:c r="A12" s="84" t="str">
        <x:v>Total replica data-disk capacity</x:v>
      </x:c>
      <x:c r="B12" s="97" t="n">
        <x:f>B11*'Application Inputs'!C21</x:f>
        <x:v>85.71428571428572</x:v>
      </x:c>
      <x:c r="C12" s="84" t="str">
        <x:v>Capacity and cost view; each member still needs per-node capacity</x:v>
      </x:c>
      <x:c r="D12" s="73"/>
      <x:c r="E12" s="73"/>
      <x:c r="F12" s="73"/>
    </x:row>
    <x:row r="13">
      <x:c r="A13" s="73"/>
      <x:c r="B13" s="73"/>
      <x:c r="C13" s="73"/>
      <x:c r="D13" s="73"/>
      <x:c r="E13" s="73"/>
      <x:c r="F13" s="73"/>
    </x:row>
    <x:row r="14">
      <x:c r="A14" s="27" t="str">
        <x:v>AWS sizing requirement</x:v>
      </x:c>
      <x:c r="B14" s="27" t="str">
        <x:v>Calculated value</x:v>
      </x:c>
      <x:c r="C14" s="27" t="str">
        <x:v>Required evidence</x:v>
      </x:c>
      <x:c r="D14" s="73"/>
      <x:c r="E14" s="73"/>
      <x:c r="F14" s="73"/>
    </x:row>
    <x:row r="15">
      <x:c r="A15" s="84" t="str">
        <x:v>vCPU per node</x:v>
      </x:c>
      <x:c r="B15" s="97" t="n">
        <x:f>'DBA Inputs'!C23</x:f>
        <x:v>0</x:v>
      </x:c>
      <x:c r="C15" s="84" t="str">
        <x:v>Representative vCPU, utilization, and target headroom</x:v>
      </x:c>
      <x:c r="D15" s="73"/>
      <x:c r="E15" s="73"/>
      <x:c r="F15" s="73"/>
    </x:row>
    <x:row r="16">
      <x:c r="A16" s="84" t="str">
        <x:v>Sustained EBS IOPS</x:v>
      </x:c>
      <x:c r="B16" s="97" t="n">
        <x:f>'DBA Inputs'!C12</x:f>
        <x:v>0</x:v>
      </x:c>
      <x:c r="C16" s="84" t="str">
        <x:v>Sustained-peak read/write IOPS with safety factor</x:v>
      </x:c>
      <x:c r="D16" s="73"/>
      <x:c r="E16" s="73"/>
      <x:c r="F16" s="73"/>
    </x:row>
    <x:row r="17">
      <x:c r="A17" s="84" t="str">
        <x:v>Sustained EBS throughput</x:v>
      </x:c>
      <x:c r="B17" s="97" t="n">
        <x:f>'DBA Inputs'!C16</x:f>
        <x:v>0</x:v>
      </x:c>
      <x:c r="C17" s="84" t="str">
        <x:v>Sustained-peak read/write MiB/s with safety factor</x:v>
      </x:c>
      <x:c r="D17" s="73"/>
      <x:c r="E17" s="73"/>
      <x:c r="F17" s="73"/>
    </x:row>
    <x:row r="18">
      <x:c r="A18" s="84" t="str">
        <x:v>Sustained network bandwidth</x:v>
      </x:c>
      <x:c r="B18" s="97" t="n">
        <x:f>'DBA Inputs'!C19</x:f>
        <x:v>0</x:v>
      </x:c>
      <x:c r="C18" s="84" t="str">
        <x:v>Application and replication traffic with safety factor</x:v>
      </x:c>
      <x:c r="D18" s="73"/>
      <x:c r="E18" s="73"/>
      <x:c r="F18" s="73"/>
    </x:row>
    <x:row r="19">
      <x:c r="A19" s="84" t="str">
        <x:v>Sharding</x:v>
      </x:c>
      <x:c r="B19" s="101" t="str">
        <x:v>Architecture assessment required</x:v>
      </x:c>
      <x:c r="C19" s="84" t="str">
        <x:v>Replica-set limits, query distribution, growth, and shard-key analysis</x:v>
      </x:c>
      <x:c r="D19" s="73"/>
      <x:c r="E19" s="73"/>
      <x:c r="F19" s="73"/>
    </x:row>
    <x:row r="20">
      <x:c r="A20" s="73"/>
      <x:c r="B20" s="73"/>
      <x:c r="C20" s="73"/>
      <x:c r="D20" s="73"/>
      <x:c r="E20" s="73"/>
      <x:c r="F20" s="73"/>
    </x:row>
    <x:row r="21">
      <x:c r="A21" s="34" t="str">
        <x:v>Use EC2 Candidates and EBS Candidates to compare measured requirements against both volume limits and EC2 EBS limits. Final selection still requires representative validation.</x:v>
      </x:c>
      <x:c r="B21" s="34"/>
      <x:c r="C21" s="34"/>
      <x:c r="D21" s="34"/>
      <x:c r="E21" s="34"/>
      <x:c r="F21" s="34"/>
    </x:row>
  </x:sheetData>
  <x:mergeCells>
    <x:mergeCell ref="A1:F2"/>
    <x:mergeCell ref="A21:F2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8" hidden="0" customWidth="1"/>
  </x:cols>
  <x:sheetData>
    <x:row r="1" ht="30" customHeight="1">
      <x:c r="A1" s="72" t="str">
        <x:v>AWS EC2 Memory-Optimized Candidate Evaluation</x:v>
      </x:c>
      <x:c r="B1" s="72" t="str">
        <x:v>AWS EC2 Memory-Optimized Candidate Evaluation</x:v>
      </x:c>
      <x:c r="C1" s="72" t="str">
        <x:v>AWS EC2 Memory-Optimized Candidate Evaluation</x:v>
      </x:c>
      <x:c r="D1" s="72" t="str">
        <x:v>AWS EC2 Memory-Optimized Candidate Evaluation</x:v>
      </x:c>
      <x:c r="E1" s="72" t="str">
        <x:v>AWS EC2 Memory-Optimized Candidate Evaluation</x:v>
      </x:c>
      <x:c r="F1" s="72" t="str">
        <x:v>AWS EC2 Memory-Optimized Candidate Evaluation</x:v>
      </x:c>
      <x:c r="G1" s="72" t="str">
        <x:v>AWS EC2 Memory-Optimized Candidate Evaluation</x:v>
      </x:c>
      <x:c r="H1" s="72" t="str">
        <x:v>AWS EC2 Memory-Optimized Candidate Evaluation</x:v>
      </x:c>
      <x:c r="I1" s="72" t="str">
        <x:v>AWS EC2 Memory-Optimized Candidate Evaluation</x:v>
      </x:c>
      <x:c r="J1" s="72" t="str">
        <x:v>AWS EC2 Memory-Optimized Candidate Evaluation</x:v>
      </x:c>
      <x:c r="K1" s="72" t="str">
        <x:v>AWS EC2 Memory-Optimized Candidate Evaluation</x:v>
      </x:c>
      <x:c r="L1" s="72" t="str">
        <x:v>AWS EC2 Memory-Optimized Candidate Evaluation</x:v>
      </x:c>
      <x:c r="M1" s="72" t="str">
        <x:v>AWS EC2 Memory-Optimized Candidate Evaluation</x:v>
      </x:c>
      <x:c r="N1" s="72" t="str">
        <x:v>AWS EC2 Memory-Optimized Candidate Evaluation</x:v>
      </x:c>
      <x:c r="O1" s="72" t="str">
        <x:v>AWS EC2 Memory-Optimized Candidate Evaluation</x:v>
      </x:c>
      <x:c r="P1" s="72" t="str">
        <x:v>AWS EC2 Memory-Optimized Candidate Evaluation</x:v>
      </x:c>
      <x:c r="Q1" s="72" t="str">
        <x:v>AWS EC2 Memory-Optimized Candidate Evaluation</x:v>
      </x:c>
      <x:c r="R1" s="72" t="str">
        <x:v>AWS EC2 Memory-Optimized Candidate Evaluation</x:v>
      </x:c>
      <x:c r="S1" s="72" t="str">
        <x:v>AWS EC2 Memory-Optimized Candidate Evaluation</x:v>
      </x:c>
    </x:row>
    <x:row r="2" ht="30" customHeight="1">
      <x:c r="A2" s="72" t="str">
        <x:v>AWS EC2 Memory-Optimized Candidate Evaluation</x:v>
      </x:c>
      <x:c r="B2" s="72" t="str">
        <x:v>AWS EC2 Memory-Optimized Candidate Evaluation</x:v>
      </x:c>
      <x:c r="C2" s="72" t="str">
        <x:v>AWS EC2 Memory-Optimized Candidate Evaluation</x:v>
      </x:c>
      <x:c r="D2" s="72" t="str">
        <x:v>AWS EC2 Memory-Optimized Candidate Evaluation</x:v>
      </x:c>
      <x:c r="E2" s="72" t="str">
        <x:v>AWS EC2 Memory-Optimized Candidate Evaluation</x:v>
      </x:c>
      <x:c r="F2" s="72" t="str">
        <x:v>AWS EC2 Memory-Optimized Candidate Evaluation</x:v>
      </x:c>
      <x:c r="G2" s="72" t="str">
        <x:v>AWS EC2 Memory-Optimized Candidate Evaluation</x:v>
      </x:c>
      <x:c r="H2" s="72" t="str">
        <x:v>AWS EC2 Memory-Optimized Candidate Evaluation</x:v>
      </x:c>
      <x:c r="I2" s="72" t="str">
        <x:v>AWS EC2 Memory-Optimized Candidate Evaluation</x:v>
      </x:c>
      <x:c r="J2" s="72" t="str">
        <x:v>AWS EC2 Memory-Optimized Candidate Evaluation</x:v>
      </x:c>
      <x:c r="K2" s="72" t="str">
        <x:v>AWS EC2 Memory-Optimized Candidate Evaluation</x:v>
      </x:c>
      <x:c r="L2" s="72" t="str">
        <x:v>AWS EC2 Memory-Optimized Candidate Evaluation</x:v>
      </x:c>
      <x:c r="M2" s="72" t="str">
        <x:v>AWS EC2 Memory-Optimized Candidate Evaluation</x:v>
      </x:c>
      <x:c r="N2" s="72" t="str">
        <x:v>AWS EC2 Memory-Optimized Candidate Evaluation</x:v>
      </x:c>
      <x:c r="O2" s="72" t="str">
        <x:v>AWS EC2 Memory-Optimized Candidate Evaluation</x:v>
      </x:c>
      <x:c r="P2" s="72" t="str">
        <x:v>AWS EC2 Memory-Optimized Candidate Evaluation</x:v>
      </x:c>
      <x:c r="Q2" s="72" t="str">
        <x:v>AWS EC2 Memory-Optimized Candidate Evaluation</x:v>
      </x:c>
      <x:c r="R2" s="72" t="str">
        <x:v>AWS EC2 Memory-Optimized Candidate Evaluation</x:v>
      </x:c>
      <x:c r="S2" s="72" t="str">
        <x:v>AWS EC2 Memory-Optimized Candidate Evaluation</x:v>
      </x:c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  <x:c r="S3" s="73"/>
    </x:row>
    <x:row r="4">
      <x:c r="A4" s="27" t="str">
        <x:v>Instance type</x:v>
      </x:c>
      <x:c r="B4" s="27" t="str">
        <x:v>Family</x:v>
      </x:c>
      <x:c r="C4" s="27" t="str">
        <x:v>Architecture</x:v>
      </x:c>
      <x:c r="D4" s="27" t="str">
        <x:v>vCPU</x:v>
      </x:c>
      <x:c r="E4" s="27" t="str">
        <x:v>RAM GiB</x:v>
      </x:c>
      <x:c r="F4" s="27" t="str">
        <x:v>Baseline network Gbps</x:v>
      </x:c>
      <x:c r="G4" s="27" t="str">
        <x:v>Maximum network Gbps</x:v>
      </x:c>
      <x:c r="H4" s="27" t="str">
        <x:v>Baseline EBS IOPS</x:v>
      </x:c>
      <x:c r="I4" s="27" t="str">
        <x:v>Maximum EBS IOPS</x:v>
      </x:c>
      <x:c r="J4" s="27" t="str">
        <x:v>Baseline EBS throughput MiB/s</x:v>
      </x:c>
      <x:c r="K4" s="27" t="str">
        <x:v>Maximum EBS throughput MiB/s</x:v>
      </x:c>
      <x:c r="L4" s="27" t="str">
        <x:v>CPU fit</x:v>
      </x:c>
      <x:c r="M4" s="27" t="str">
        <x:v>RAM fit</x:v>
      </x:c>
      <x:c r="N4" s="27" t="str">
        <x:v>Sustained IOPS fit</x:v>
      </x:c>
      <x:c r="O4" s="27" t="str">
        <x:v>Sustained throughput fit</x:v>
      </x:c>
      <x:c r="P4" s="27" t="str">
        <x:v>Network fit</x:v>
      </x:c>
      <x:c r="Q4" s="27" t="str">
        <x:v>Overall sustained fit</x:v>
      </x:c>
      <x:c r="R4" s="27" t="str">
        <x:v>Approved / available?</x:v>
      </x:c>
      <x:c r="S4" s="27" t="str">
        <x:v>Notes / source</x:v>
      </x:c>
    </x:row>
    <x:row r="5">
      <x:c r="A5" s="84" t="str">
        <x:v>r7i.large</x:v>
      </x:c>
      <x:c r="B5" s="84" t="str">
        <x:v>R7i</x:v>
      </x:c>
      <x:c r="C5" s="84" t="str">
        <x:v>x86_64</x:v>
      </x:c>
      <x:c r="D5" s="104" t="n">
        <x:v>2</x:v>
      </x:c>
      <x:c r="E5" s="104" t="n">
        <x:v>16</x:v>
      </x:c>
      <x:c r="F5" s="104" t="n">
        <x:v>0.781</x:v>
      </x:c>
      <x:c r="G5" s="104" t="n">
        <x:v>12.5</x:v>
      </x:c>
      <x:c r="H5" s="104" t="n">
        <x:v>3600</x:v>
      </x:c>
      <x:c r="I5" s="104" t="n">
        <x:v>40000</x:v>
      </x:c>
      <x:c r="J5" s="104" t="n">
        <x:v>81.25</x:v>
      </x:c>
      <x:c r="K5" s="104" t="n">
        <x:v>1250</x:v>
      </x:c>
      <x:c r="L5" s="105" t="str">
        <x:f>IF('DBA Inputs'!$C$23=0,"PENDING",IF(D5&gt;='DBA Inputs'!$C$23,"PASS","FAIL"))</x:f>
        <x:v>PENDING</x:v>
      </x:c>
      <x:c r="M5" s="105" t="str">
        <x:f>IF('DBA Inputs'!$C$26=0,"PENDING",IF(E5&gt;='DBA Inputs'!$C$26,"PASS","FAIL"))</x:f>
        <x:v>PENDING</x:v>
      </x:c>
      <x:c r="N5" s="105" t="str">
        <x:f>IF('DBA Inputs'!$C$12=0,"PENDING",IF(H5&gt;='DBA Inputs'!$C$12,"PASS","FAIL"))</x:f>
        <x:v>PENDING</x:v>
      </x:c>
      <x:c r="O5" s="105" t="str">
        <x:f>IF('DBA Inputs'!$C$16=0,"PENDING",IF(J5&gt;='DBA Inputs'!$C$16,"PASS","FAIL"))</x:f>
        <x:v>PENDING</x:v>
      </x:c>
      <x:c r="P5" s="105" t="str">
        <x:f>IF('DBA Inputs'!$C$19=0,"PENDING",IF(F5&gt;='DBA Inputs'!$C$19,"PASS","FAIL"))</x:f>
        <x:v>PENDING</x:v>
      </x:c>
      <x:c r="Q5" s="105" t="str">
        <x:f>IF(COUNTIF(L5:P5,"PENDING")&gt;0,"PENDING",IF(COUNTIF(L5:P5,"FAIL")=0,"RESOURCE FIT","NO FIT"))</x:f>
        <x:v>PENDING</x:v>
      </x:c>
      <x:c r="R5" s="86" t="str"/>
      <x:c r="S5" s="84" t="str">
        <x:v>AWS specs retrieved 2026-07-21; baseline/max values</x:v>
      </x:c>
    </x:row>
    <x:row r="6">
      <x:c r="A6" s="84" t="str">
        <x:v>r7i.xlarge</x:v>
      </x:c>
      <x:c r="B6" s="84" t="str">
        <x:v>R7i</x:v>
      </x:c>
      <x:c r="C6" s="84" t="str">
        <x:v>x86_64</x:v>
      </x:c>
      <x:c r="D6" s="104" t="n">
        <x:v>4</x:v>
      </x:c>
      <x:c r="E6" s="104" t="n">
        <x:v>32</x:v>
      </x:c>
      <x:c r="F6" s="104" t="n">
        <x:v>1.562</x:v>
      </x:c>
      <x:c r="G6" s="104" t="n">
        <x:v>12.5</x:v>
      </x:c>
      <x:c r="H6" s="104" t="n">
        <x:v>6000</x:v>
      </x:c>
      <x:c r="I6" s="104" t="n">
        <x:v>40000</x:v>
      </x:c>
      <x:c r="J6" s="104" t="n">
        <x:v>156.25</x:v>
      </x:c>
      <x:c r="K6" s="104" t="n">
        <x:v>1250</x:v>
      </x:c>
      <x:c r="L6" s="105" t="str">
        <x:f>IF('DBA Inputs'!$C$23=0,"PENDING",IF(D6&gt;='DBA Inputs'!$C$23,"PASS","FAIL"))</x:f>
        <x:v>PENDING</x:v>
      </x:c>
      <x:c r="M6" s="105" t="str">
        <x:f>IF('DBA Inputs'!$C$26=0,"PENDING",IF(E6&gt;='DBA Inputs'!$C$26,"PASS","FAIL"))</x:f>
        <x:v>PENDING</x:v>
      </x:c>
      <x:c r="N6" s="105" t="str">
        <x:f>IF('DBA Inputs'!$C$12=0,"PENDING",IF(H6&gt;='DBA Inputs'!$C$12,"PASS","FAIL"))</x:f>
        <x:v>PENDING</x:v>
      </x:c>
      <x:c r="O6" s="105" t="str">
        <x:f>IF('DBA Inputs'!$C$16=0,"PENDING",IF(J6&gt;='DBA Inputs'!$C$16,"PASS","FAIL"))</x:f>
        <x:v>PENDING</x:v>
      </x:c>
      <x:c r="P6" s="105" t="str">
        <x:f>IF('DBA Inputs'!$C$19=0,"PENDING",IF(F6&gt;='DBA Inputs'!$C$19,"PASS","FAIL"))</x:f>
        <x:v>PENDING</x:v>
      </x:c>
      <x:c r="Q6" s="105" t="str">
        <x:f>IF(COUNTIF(L6:P6,"PENDING")&gt;0,"PENDING",IF(COUNTIF(L6:P6,"FAIL")=0,"RESOURCE FIT","NO FIT"))</x:f>
        <x:v>PENDING</x:v>
      </x:c>
      <x:c r="R6" s="86" t="str"/>
      <x:c r="S6" s="84" t="str">
        <x:v>AWS specs retrieved 2026-07-21; baseline/max values</x:v>
      </x:c>
    </x:row>
    <x:row r="7">
      <x:c r="A7" s="84" t="str">
        <x:v>r7i.2xlarge</x:v>
      </x:c>
      <x:c r="B7" s="84" t="str">
        <x:v>R7i</x:v>
      </x:c>
      <x:c r="C7" s="84" t="str">
        <x:v>x86_64</x:v>
      </x:c>
      <x:c r="D7" s="104" t="n">
        <x:v>8</x:v>
      </x:c>
      <x:c r="E7" s="104" t="n">
        <x:v>64</x:v>
      </x:c>
      <x:c r="F7" s="104" t="n">
        <x:v>3.125</x:v>
      </x:c>
      <x:c r="G7" s="104" t="n">
        <x:v>12.5</x:v>
      </x:c>
      <x:c r="H7" s="104" t="n">
        <x:v>12000</x:v>
      </x:c>
      <x:c r="I7" s="104" t="n">
        <x:v>40000</x:v>
      </x:c>
      <x:c r="J7" s="104" t="n">
        <x:v>312.5</x:v>
      </x:c>
      <x:c r="K7" s="104" t="n">
        <x:v>1250</x:v>
      </x:c>
      <x:c r="L7" s="105" t="str">
        <x:f>IF('DBA Inputs'!$C$23=0,"PENDING",IF(D7&gt;='DBA Inputs'!$C$23,"PASS","FAIL"))</x:f>
        <x:v>PENDING</x:v>
      </x:c>
      <x:c r="M7" s="105" t="str">
        <x:f>IF('DBA Inputs'!$C$26=0,"PENDING",IF(E7&gt;='DBA Inputs'!$C$26,"PASS","FAIL"))</x:f>
        <x:v>PENDING</x:v>
      </x:c>
      <x:c r="N7" s="105" t="str">
        <x:f>IF('DBA Inputs'!$C$12=0,"PENDING",IF(H7&gt;='DBA Inputs'!$C$12,"PASS","FAIL"))</x:f>
        <x:v>PENDING</x:v>
      </x:c>
      <x:c r="O7" s="105" t="str">
        <x:f>IF('DBA Inputs'!$C$16=0,"PENDING",IF(J7&gt;='DBA Inputs'!$C$16,"PASS","FAIL"))</x:f>
        <x:v>PENDING</x:v>
      </x:c>
      <x:c r="P7" s="105" t="str">
        <x:f>IF('DBA Inputs'!$C$19=0,"PENDING",IF(F7&gt;='DBA Inputs'!$C$19,"PASS","FAIL"))</x:f>
        <x:v>PENDING</x:v>
      </x:c>
      <x:c r="Q7" s="105" t="str">
        <x:f>IF(COUNTIF(L7:P7,"PENDING")&gt;0,"PENDING",IF(COUNTIF(L7:P7,"FAIL")=0,"RESOURCE FIT","NO FIT"))</x:f>
        <x:v>PENDING</x:v>
      </x:c>
      <x:c r="R7" s="86" t="str"/>
      <x:c r="S7" s="84" t="str">
        <x:v>AWS specs retrieved 2026-07-21; baseline/max values</x:v>
      </x:c>
    </x:row>
    <x:row r="8">
      <x:c r="A8" s="84" t="str">
        <x:v>r7i.4xlarge</x:v>
      </x:c>
      <x:c r="B8" s="84" t="str">
        <x:v>R7i</x:v>
      </x:c>
      <x:c r="C8" s="84" t="str">
        <x:v>x86_64</x:v>
      </x:c>
      <x:c r="D8" s="104" t="n">
        <x:v>16</x:v>
      </x:c>
      <x:c r="E8" s="104" t="n">
        <x:v>128</x:v>
      </x:c>
      <x:c r="F8" s="104" t="n">
        <x:v>6.25</x:v>
      </x:c>
      <x:c r="G8" s="104" t="n">
        <x:v>12.5</x:v>
      </x:c>
      <x:c r="H8" s="104" t="n">
        <x:v>20000</x:v>
      </x:c>
      <x:c r="I8" s="104" t="n">
        <x:v>40000</x:v>
      </x:c>
      <x:c r="J8" s="104" t="n">
        <x:v>625</x:v>
      </x:c>
      <x:c r="K8" s="104" t="n">
        <x:v>1250</x:v>
      </x:c>
      <x:c r="L8" s="105" t="str">
        <x:f>IF('DBA Inputs'!$C$23=0,"PENDING",IF(D8&gt;='DBA Inputs'!$C$23,"PASS","FAIL"))</x:f>
        <x:v>PENDING</x:v>
      </x:c>
      <x:c r="M8" s="105" t="str">
        <x:f>IF('DBA Inputs'!$C$26=0,"PENDING",IF(E8&gt;='DBA Inputs'!$C$26,"PASS","FAIL"))</x:f>
        <x:v>PENDING</x:v>
      </x:c>
      <x:c r="N8" s="105" t="str">
        <x:f>IF('DBA Inputs'!$C$12=0,"PENDING",IF(H8&gt;='DBA Inputs'!$C$12,"PASS","FAIL"))</x:f>
        <x:v>PENDING</x:v>
      </x:c>
      <x:c r="O8" s="105" t="str">
        <x:f>IF('DBA Inputs'!$C$16=0,"PENDING",IF(J8&gt;='DBA Inputs'!$C$16,"PASS","FAIL"))</x:f>
        <x:v>PENDING</x:v>
      </x:c>
      <x:c r="P8" s="105" t="str">
        <x:f>IF('DBA Inputs'!$C$19=0,"PENDING",IF(F8&gt;='DBA Inputs'!$C$19,"PASS","FAIL"))</x:f>
        <x:v>PENDING</x:v>
      </x:c>
      <x:c r="Q8" s="105" t="str">
        <x:f>IF(COUNTIF(L8:P8,"PENDING")&gt;0,"PENDING",IF(COUNTIF(L8:P8,"FAIL")=0,"RESOURCE FIT","NO FIT"))</x:f>
        <x:v>PENDING</x:v>
      </x:c>
      <x:c r="R8" s="86" t="str"/>
      <x:c r="S8" s="84" t="str">
        <x:v>AWS specs retrieved 2026-07-21; baseline/max values</x:v>
      </x:c>
    </x:row>
    <x:row r="9">
      <x:c r="A9" s="84" t="str">
        <x:v>r7i.8xlarge</x:v>
      </x:c>
      <x:c r="B9" s="84" t="str">
        <x:v>R7i</x:v>
      </x:c>
      <x:c r="C9" s="84" t="str">
        <x:v>x86_64</x:v>
      </x:c>
      <x:c r="D9" s="104" t="n">
        <x:v>32</x:v>
      </x:c>
      <x:c r="E9" s="104" t="n">
        <x:v>256</x:v>
      </x:c>
      <x:c r="F9" s="104" t="n">
        <x:v>12.5</x:v>
      </x:c>
      <x:c r="G9" s="104" t="n">
        <x:v>12.5</x:v>
      </x:c>
      <x:c r="H9" s="104" t="n">
        <x:v>40000</x:v>
      </x:c>
      <x:c r="I9" s="104" t="n">
        <x:v>40000</x:v>
      </x:c>
      <x:c r="J9" s="104" t="n">
        <x:v>1250</x:v>
      </x:c>
      <x:c r="K9" s="104" t="n">
        <x:v>1250</x:v>
      </x:c>
      <x:c r="L9" s="105" t="str">
        <x:f>IF('DBA Inputs'!$C$23=0,"PENDING",IF(D9&gt;='DBA Inputs'!$C$23,"PASS","FAIL"))</x:f>
        <x:v>PENDING</x:v>
      </x:c>
      <x:c r="M9" s="105" t="str">
        <x:f>IF('DBA Inputs'!$C$26=0,"PENDING",IF(E9&gt;='DBA Inputs'!$C$26,"PASS","FAIL"))</x:f>
        <x:v>PENDING</x:v>
      </x:c>
      <x:c r="N9" s="105" t="str">
        <x:f>IF('DBA Inputs'!$C$12=0,"PENDING",IF(H9&gt;='DBA Inputs'!$C$12,"PASS","FAIL"))</x:f>
        <x:v>PENDING</x:v>
      </x:c>
      <x:c r="O9" s="105" t="str">
        <x:f>IF('DBA Inputs'!$C$16=0,"PENDING",IF(J9&gt;='DBA Inputs'!$C$16,"PASS","FAIL"))</x:f>
        <x:v>PENDING</x:v>
      </x:c>
      <x:c r="P9" s="105" t="str">
        <x:f>IF('DBA Inputs'!$C$19=0,"PENDING",IF(F9&gt;='DBA Inputs'!$C$19,"PASS","FAIL"))</x:f>
        <x:v>PENDING</x:v>
      </x:c>
      <x:c r="Q9" s="105" t="str">
        <x:f>IF(COUNTIF(L9:P9,"PENDING")&gt;0,"PENDING",IF(COUNTIF(L9:P9,"FAIL")=0,"RESOURCE FIT","NO FIT"))</x:f>
        <x:v>PENDING</x:v>
      </x:c>
      <x:c r="R9" s="86" t="str"/>
      <x:c r="S9" s="84" t="str">
        <x:v>AWS specs retrieved 2026-07-21; sustained maximum</x:v>
      </x:c>
    </x:row>
    <x:row r="10">
      <x:c r="A10" s="84" t="str">
        <x:v>r7i.12xlarge</x:v>
      </x:c>
      <x:c r="B10" s="84" t="str">
        <x:v>R7i</x:v>
      </x:c>
      <x:c r="C10" s="84" t="str">
        <x:v>x86_64</x:v>
      </x:c>
      <x:c r="D10" s="104" t="n">
        <x:v>48</x:v>
      </x:c>
      <x:c r="E10" s="104" t="n">
        <x:v>384</x:v>
      </x:c>
      <x:c r="F10" s="104" t="n">
        <x:v>18.75</x:v>
      </x:c>
      <x:c r="G10" s="104" t="n">
        <x:v>18.75</x:v>
      </x:c>
      <x:c r="H10" s="104" t="n">
        <x:v>60000</x:v>
      </x:c>
      <x:c r="I10" s="104" t="n">
        <x:v>60000</x:v>
      </x:c>
      <x:c r="J10" s="104" t="n">
        <x:v>1875</x:v>
      </x:c>
      <x:c r="K10" s="104" t="n">
        <x:v>1875</x:v>
      </x:c>
      <x:c r="L10" s="105" t="str">
        <x:f>IF('DBA Inputs'!$C$23=0,"PENDING",IF(D10&gt;='DBA Inputs'!$C$23,"PASS","FAIL"))</x:f>
        <x:v>PENDING</x:v>
      </x:c>
      <x:c r="M10" s="105" t="str">
        <x:f>IF('DBA Inputs'!$C$26=0,"PENDING",IF(E10&gt;='DBA Inputs'!$C$26,"PASS","FAIL"))</x:f>
        <x:v>PENDING</x:v>
      </x:c>
      <x:c r="N10" s="105" t="str">
        <x:f>IF('DBA Inputs'!$C$12=0,"PENDING",IF(H10&gt;='DBA Inputs'!$C$12,"PASS","FAIL"))</x:f>
        <x:v>PENDING</x:v>
      </x:c>
      <x:c r="O10" s="105" t="str">
        <x:f>IF('DBA Inputs'!$C$16=0,"PENDING",IF(J10&gt;='DBA Inputs'!$C$16,"PASS","FAIL"))</x:f>
        <x:v>PENDING</x:v>
      </x:c>
      <x:c r="P10" s="105" t="str">
        <x:f>IF('DBA Inputs'!$C$19=0,"PENDING",IF(F10&gt;='DBA Inputs'!$C$19,"PASS","FAIL"))</x:f>
        <x:v>PENDING</x:v>
      </x:c>
      <x:c r="Q10" s="105" t="str">
        <x:f>IF(COUNTIF(L10:P10,"PENDING")&gt;0,"PENDING",IF(COUNTIF(L10:P10,"FAIL")=0,"RESOURCE FIT","NO FIT"))</x:f>
        <x:v>PENDING</x:v>
      </x:c>
      <x:c r="R10" s="86" t="str"/>
      <x:c r="S10" s="84" t="str">
        <x:v>AWS specs retrieved 2026-07-21; sustained maximum</x:v>
      </x:c>
    </x:row>
    <x:row r="11">
      <x:c r="A11" s="84" t="str">
        <x:v>r7i.16xlarge</x:v>
      </x:c>
      <x:c r="B11" s="84" t="str">
        <x:v>R7i</x:v>
      </x:c>
      <x:c r="C11" s="84" t="str">
        <x:v>x86_64</x:v>
      </x:c>
      <x:c r="D11" s="104" t="n">
        <x:v>64</x:v>
      </x:c>
      <x:c r="E11" s="104" t="n">
        <x:v>512</x:v>
      </x:c>
      <x:c r="F11" s="104" t="n">
        <x:v>25</x:v>
      </x:c>
      <x:c r="G11" s="104" t="n">
        <x:v>25</x:v>
      </x:c>
      <x:c r="H11" s="104" t="n">
        <x:v>80000</x:v>
      </x:c>
      <x:c r="I11" s="104" t="n">
        <x:v>80000</x:v>
      </x:c>
      <x:c r="J11" s="104" t="n">
        <x:v>2500</x:v>
      </x:c>
      <x:c r="K11" s="104" t="n">
        <x:v>2500</x:v>
      </x:c>
      <x:c r="L11" s="105" t="str">
        <x:f>IF('DBA Inputs'!$C$23=0,"PENDING",IF(D11&gt;='DBA Inputs'!$C$23,"PASS","FAIL"))</x:f>
        <x:v>PENDING</x:v>
      </x:c>
      <x:c r="M11" s="105" t="str">
        <x:f>IF('DBA Inputs'!$C$26=0,"PENDING",IF(E11&gt;='DBA Inputs'!$C$26,"PASS","FAIL"))</x:f>
        <x:v>PENDING</x:v>
      </x:c>
      <x:c r="N11" s="105" t="str">
        <x:f>IF('DBA Inputs'!$C$12=0,"PENDING",IF(H11&gt;='DBA Inputs'!$C$12,"PASS","FAIL"))</x:f>
        <x:v>PENDING</x:v>
      </x:c>
      <x:c r="O11" s="105" t="str">
        <x:f>IF('DBA Inputs'!$C$16=0,"PENDING",IF(J11&gt;='DBA Inputs'!$C$16,"PASS","FAIL"))</x:f>
        <x:v>PENDING</x:v>
      </x:c>
      <x:c r="P11" s="105" t="str">
        <x:f>IF('DBA Inputs'!$C$19=0,"PENDING",IF(F11&gt;='DBA Inputs'!$C$19,"PASS","FAIL"))</x:f>
        <x:v>PENDING</x:v>
      </x:c>
      <x:c r="Q11" s="105" t="str">
        <x:f>IF(COUNTIF(L11:P11,"PENDING")&gt;0,"PENDING",IF(COUNTIF(L11:P11,"FAIL")=0,"RESOURCE FIT","NO FIT"))</x:f>
        <x:v>PENDING</x:v>
      </x:c>
      <x:c r="R11" s="86" t="str"/>
      <x:c r="S11" s="84" t="str">
        <x:v>AWS specs retrieved 2026-07-21; sustained maximum</x:v>
      </x:c>
    </x:row>
    <x:row r="12">
      <x:c r="A12" s="84" t="str">
        <x:v>r8i.large</x:v>
      </x:c>
      <x:c r="B12" s="84" t="str">
        <x:v>R8i</x:v>
      </x:c>
      <x:c r="C12" s="84" t="str">
        <x:v>x86_64</x:v>
      </x:c>
      <x:c r="D12" s="104" t="n">
        <x:v>2</x:v>
      </x:c>
      <x:c r="E12" s="104" t="n">
        <x:v>16</x:v>
      </x:c>
      <x:c r="F12" s="104" t="n">
        <x:v>0.937</x:v>
      </x:c>
      <x:c r="G12" s="104" t="n">
        <x:v>12.5</x:v>
      </x:c>
      <x:c r="H12" s="104" t="n">
        <x:v>3600</x:v>
      </x:c>
      <x:c r="I12" s="104" t="n">
        <x:v>40000</x:v>
      </x:c>
      <x:c r="J12" s="104" t="n">
        <x:v>81.25</x:v>
      </x:c>
      <x:c r="K12" s="104" t="n">
        <x:v>1250</x:v>
      </x:c>
      <x:c r="L12" s="105" t="str">
        <x:f>IF('DBA Inputs'!$C$23=0,"PENDING",IF(D12&gt;='DBA Inputs'!$C$23,"PASS","FAIL"))</x:f>
        <x:v>PENDING</x:v>
      </x:c>
      <x:c r="M12" s="105" t="str">
        <x:f>IF('DBA Inputs'!$C$26=0,"PENDING",IF(E12&gt;='DBA Inputs'!$C$26,"PASS","FAIL"))</x:f>
        <x:v>PENDING</x:v>
      </x:c>
      <x:c r="N12" s="105" t="str">
        <x:f>IF('DBA Inputs'!$C$12=0,"PENDING",IF(H12&gt;='DBA Inputs'!$C$12,"PASS","FAIL"))</x:f>
        <x:v>PENDING</x:v>
      </x:c>
      <x:c r="O12" s="105" t="str">
        <x:f>IF('DBA Inputs'!$C$16=0,"PENDING",IF(J12&gt;='DBA Inputs'!$C$16,"PASS","FAIL"))</x:f>
        <x:v>PENDING</x:v>
      </x:c>
      <x:c r="P12" s="105" t="str">
        <x:f>IF('DBA Inputs'!$C$19=0,"PENDING",IF(F12&gt;='DBA Inputs'!$C$19,"PASS","FAIL"))</x:f>
        <x:v>PENDING</x:v>
      </x:c>
      <x:c r="Q12" s="105" t="str">
        <x:f>IF(COUNTIF(L12:P12,"PENDING")&gt;0,"PENDING",IF(COUNTIF(L12:P12,"FAIL")=0,"RESOURCE FIT","NO FIT"))</x:f>
        <x:v>PENDING</x:v>
      </x:c>
      <x:c r="R12" s="86" t="str"/>
      <x:c r="S12" s="84" t="str">
        <x:v>AWS specs retrieved 2026-07-21; verify regional availability</x:v>
      </x:c>
    </x:row>
    <x:row r="13">
      <x:c r="A13" s="84" t="str">
        <x:v>r8i.xlarge</x:v>
      </x:c>
      <x:c r="B13" s="84" t="str">
        <x:v>R8i</x:v>
      </x:c>
      <x:c r="C13" s="84" t="str">
        <x:v>x86_64</x:v>
      </x:c>
      <x:c r="D13" s="104" t="n">
        <x:v>4</x:v>
      </x:c>
      <x:c r="E13" s="104" t="n">
        <x:v>32</x:v>
      </x:c>
      <x:c r="F13" s="104" t="n">
        <x:v>1.875</x:v>
      </x:c>
      <x:c r="G13" s="104" t="n">
        <x:v>12.5</x:v>
      </x:c>
      <x:c r="H13" s="104" t="n">
        <x:v>6000</x:v>
      </x:c>
      <x:c r="I13" s="104" t="n">
        <x:v>40000</x:v>
      </x:c>
      <x:c r="J13" s="104" t="n">
        <x:v>156.25</x:v>
      </x:c>
      <x:c r="K13" s="104" t="n">
        <x:v>1250</x:v>
      </x:c>
      <x:c r="L13" s="105" t="str">
        <x:f>IF('DBA Inputs'!$C$23=0,"PENDING",IF(D13&gt;='DBA Inputs'!$C$23,"PASS","FAIL"))</x:f>
        <x:v>PENDING</x:v>
      </x:c>
      <x:c r="M13" s="105" t="str">
        <x:f>IF('DBA Inputs'!$C$26=0,"PENDING",IF(E13&gt;='DBA Inputs'!$C$26,"PASS","FAIL"))</x:f>
        <x:v>PENDING</x:v>
      </x:c>
      <x:c r="N13" s="105" t="str">
        <x:f>IF('DBA Inputs'!$C$12=0,"PENDING",IF(H13&gt;='DBA Inputs'!$C$12,"PASS","FAIL"))</x:f>
        <x:v>PENDING</x:v>
      </x:c>
      <x:c r="O13" s="105" t="str">
        <x:f>IF('DBA Inputs'!$C$16=0,"PENDING",IF(J13&gt;='DBA Inputs'!$C$16,"PASS","FAIL"))</x:f>
        <x:v>PENDING</x:v>
      </x:c>
      <x:c r="P13" s="105" t="str">
        <x:f>IF('DBA Inputs'!$C$19=0,"PENDING",IF(F13&gt;='DBA Inputs'!$C$19,"PASS","FAIL"))</x:f>
        <x:v>PENDING</x:v>
      </x:c>
      <x:c r="Q13" s="105" t="str">
        <x:f>IF(COUNTIF(L13:P13,"PENDING")&gt;0,"PENDING",IF(COUNTIF(L13:P13,"FAIL")=0,"RESOURCE FIT","NO FIT"))</x:f>
        <x:v>PENDING</x:v>
      </x:c>
      <x:c r="R13" s="86" t="str"/>
      <x:c r="S13" s="84" t="str">
        <x:v>AWS specs retrieved 2026-07-21; verify regional availability</x:v>
      </x:c>
    </x:row>
    <x:row r="14">
      <x:c r="A14" s="84" t="str">
        <x:v>r8i.2xlarge</x:v>
      </x:c>
      <x:c r="B14" s="84" t="str">
        <x:v>R8i</x:v>
      </x:c>
      <x:c r="C14" s="84" t="str">
        <x:v>x86_64</x:v>
      </x:c>
      <x:c r="D14" s="104" t="n">
        <x:v>8</x:v>
      </x:c>
      <x:c r="E14" s="104" t="n">
        <x:v>64</x:v>
      </x:c>
      <x:c r="F14" s="104" t="n">
        <x:v>3.75</x:v>
      </x:c>
      <x:c r="G14" s="104" t="n">
        <x:v>15</x:v>
      </x:c>
      <x:c r="H14" s="104" t="n">
        <x:v>12000</x:v>
      </x:c>
      <x:c r="I14" s="104" t="n">
        <x:v>40000</x:v>
      </x:c>
      <x:c r="J14" s="104" t="n">
        <x:v>312.5</x:v>
      </x:c>
      <x:c r="K14" s="104" t="n">
        <x:v>1250</x:v>
      </x:c>
      <x:c r="L14" s="105" t="str">
        <x:f>IF('DBA Inputs'!$C$23=0,"PENDING",IF(D14&gt;='DBA Inputs'!$C$23,"PASS","FAIL"))</x:f>
        <x:v>PENDING</x:v>
      </x:c>
      <x:c r="M14" s="105" t="str">
        <x:f>IF('DBA Inputs'!$C$26=0,"PENDING",IF(E14&gt;='DBA Inputs'!$C$26,"PASS","FAIL"))</x:f>
        <x:v>PENDING</x:v>
      </x:c>
      <x:c r="N14" s="105" t="str">
        <x:f>IF('DBA Inputs'!$C$12=0,"PENDING",IF(H14&gt;='DBA Inputs'!$C$12,"PASS","FAIL"))</x:f>
        <x:v>PENDING</x:v>
      </x:c>
      <x:c r="O14" s="105" t="str">
        <x:f>IF('DBA Inputs'!$C$16=0,"PENDING",IF(J14&gt;='DBA Inputs'!$C$16,"PASS","FAIL"))</x:f>
        <x:v>PENDING</x:v>
      </x:c>
      <x:c r="P14" s="105" t="str">
        <x:f>IF('DBA Inputs'!$C$19=0,"PENDING",IF(F14&gt;='DBA Inputs'!$C$19,"PASS","FAIL"))</x:f>
        <x:v>PENDING</x:v>
      </x:c>
      <x:c r="Q14" s="105" t="str">
        <x:f>IF(COUNTIF(L14:P14,"PENDING")&gt;0,"PENDING",IF(COUNTIF(L14:P14,"FAIL")=0,"RESOURCE FIT","NO FIT"))</x:f>
        <x:v>PENDING</x:v>
      </x:c>
      <x:c r="R14" s="86" t="str"/>
      <x:c r="S14" s="84" t="str">
        <x:v>AWS specs retrieved 2026-07-21; verify regional availability</x:v>
      </x:c>
    </x:row>
    <x:row r="15">
      <x:c r="A15" s="84" t="str">
        <x:v>r8i.4xlarge</x:v>
      </x:c>
      <x:c r="B15" s="84" t="str">
        <x:v>R8i</x:v>
      </x:c>
      <x:c r="C15" s="84" t="str">
        <x:v>x86_64</x:v>
      </x:c>
      <x:c r="D15" s="104" t="n">
        <x:v>16</x:v>
      </x:c>
      <x:c r="E15" s="104" t="n">
        <x:v>128</x:v>
      </x:c>
      <x:c r="F15" s="104" t="n">
        <x:v>7.5</x:v>
      </x:c>
      <x:c r="G15" s="104" t="n">
        <x:v>15</x:v>
      </x:c>
      <x:c r="H15" s="104" t="n">
        <x:v>20000</x:v>
      </x:c>
      <x:c r="I15" s="104" t="n">
        <x:v>40000</x:v>
      </x:c>
      <x:c r="J15" s="104" t="n">
        <x:v>625</x:v>
      </x:c>
      <x:c r="K15" s="104" t="n">
        <x:v>1250</x:v>
      </x:c>
      <x:c r="L15" s="105" t="str">
        <x:f>IF('DBA Inputs'!$C$23=0,"PENDING",IF(D15&gt;='DBA Inputs'!$C$23,"PASS","FAIL"))</x:f>
        <x:v>PENDING</x:v>
      </x:c>
      <x:c r="M15" s="105" t="str">
        <x:f>IF('DBA Inputs'!$C$26=0,"PENDING",IF(E15&gt;='DBA Inputs'!$C$26,"PASS","FAIL"))</x:f>
        <x:v>PENDING</x:v>
      </x:c>
      <x:c r="N15" s="105" t="str">
        <x:f>IF('DBA Inputs'!$C$12=0,"PENDING",IF(H15&gt;='DBA Inputs'!$C$12,"PASS","FAIL"))</x:f>
        <x:v>PENDING</x:v>
      </x:c>
      <x:c r="O15" s="105" t="str">
        <x:f>IF('DBA Inputs'!$C$16=0,"PENDING",IF(J15&gt;='DBA Inputs'!$C$16,"PASS","FAIL"))</x:f>
        <x:v>PENDING</x:v>
      </x:c>
      <x:c r="P15" s="105" t="str">
        <x:f>IF('DBA Inputs'!$C$19=0,"PENDING",IF(F15&gt;='DBA Inputs'!$C$19,"PASS","FAIL"))</x:f>
        <x:v>PENDING</x:v>
      </x:c>
      <x:c r="Q15" s="105" t="str">
        <x:f>IF(COUNTIF(L15:P15,"PENDING")&gt;0,"PENDING",IF(COUNTIF(L15:P15,"FAIL")=0,"RESOURCE FIT","NO FIT"))</x:f>
        <x:v>PENDING</x:v>
      </x:c>
      <x:c r="R15" s="86" t="str"/>
      <x:c r="S15" s="84" t="str">
        <x:v>AWS specs retrieved 2026-07-21; verify regional availability</x:v>
      </x:c>
    </x:row>
    <x:row r="16">
      <x:c r="A16" s="84" t="str">
        <x:v>r8i.8xlarge</x:v>
      </x:c>
      <x:c r="B16" s="84" t="str">
        <x:v>R8i</x:v>
      </x:c>
      <x:c r="C16" s="84" t="str">
        <x:v>x86_64</x:v>
      </x:c>
      <x:c r="D16" s="104" t="n">
        <x:v>32</x:v>
      </x:c>
      <x:c r="E16" s="104" t="n">
        <x:v>256</x:v>
      </x:c>
      <x:c r="F16" s="104" t="n">
        <x:v>15</x:v>
      </x:c>
      <x:c r="G16" s="104" t="n">
        <x:v>15</x:v>
      </x:c>
      <x:c r="H16" s="104" t="n">
        <x:v>40000</x:v>
      </x:c>
      <x:c r="I16" s="104" t="n">
        <x:v>40000</x:v>
      </x:c>
      <x:c r="J16" s="104" t="n">
        <x:v>1250</x:v>
      </x:c>
      <x:c r="K16" s="104" t="n">
        <x:v>1250</x:v>
      </x:c>
      <x:c r="L16" s="105" t="str">
        <x:f>IF('DBA Inputs'!$C$23=0,"PENDING",IF(D16&gt;='DBA Inputs'!$C$23,"PASS","FAIL"))</x:f>
        <x:v>PENDING</x:v>
      </x:c>
      <x:c r="M16" s="105" t="str">
        <x:f>IF('DBA Inputs'!$C$26=0,"PENDING",IF(E16&gt;='DBA Inputs'!$C$26,"PASS","FAIL"))</x:f>
        <x:v>PENDING</x:v>
      </x:c>
      <x:c r="N16" s="105" t="str">
        <x:f>IF('DBA Inputs'!$C$12=0,"PENDING",IF(H16&gt;='DBA Inputs'!$C$12,"PASS","FAIL"))</x:f>
        <x:v>PENDING</x:v>
      </x:c>
      <x:c r="O16" s="105" t="str">
        <x:f>IF('DBA Inputs'!$C$16=0,"PENDING",IF(J16&gt;='DBA Inputs'!$C$16,"PASS","FAIL"))</x:f>
        <x:v>PENDING</x:v>
      </x:c>
      <x:c r="P16" s="105" t="str">
        <x:f>IF('DBA Inputs'!$C$19=0,"PENDING",IF(F16&gt;='DBA Inputs'!$C$19,"PASS","FAIL"))</x:f>
        <x:v>PENDING</x:v>
      </x:c>
      <x:c r="Q16" s="105" t="str">
        <x:f>IF(COUNTIF(L16:P16,"PENDING")&gt;0,"PENDING",IF(COUNTIF(L16:P16,"FAIL")=0,"RESOURCE FIT","NO FIT"))</x:f>
        <x:v>PENDING</x:v>
      </x:c>
      <x:c r="R16" s="86" t="str"/>
      <x:c r="S16" s="84" t="str">
        <x:v>AWS specs retrieved 2026-07-21; sustained maximum</x:v>
      </x:c>
    </x:row>
    <x:row r="17">
      <x:c r="A17" s="84" t="str">
        <x:v>r8i.12xlarge</x:v>
      </x:c>
      <x:c r="B17" s="84" t="str">
        <x:v>R8i</x:v>
      </x:c>
      <x:c r="C17" s="84" t="str">
        <x:v>x86_64</x:v>
      </x:c>
      <x:c r="D17" s="104" t="n">
        <x:v>48</x:v>
      </x:c>
      <x:c r="E17" s="104" t="n">
        <x:v>384</x:v>
      </x:c>
      <x:c r="F17" s="104" t="n">
        <x:v>22.5</x:v>
      </x:c>
      <x:c r="G17" s="104" t="n">
        <x:v>22.5</x:v>
      </x:c>
      <x:c r="H17" s="104" t="n">
        <x:v>60000</x:v>
      </x:c>
      <x:c r="I17" s="104" t="n">
        <x:v>60000</x:v>
      </x:c>
      <x:c r="J17" s="104" t="n">
        <x:v>1875</x:v>
      </x:c>
      <x:c r="K17" s="104" t="n">
        <x:v>1875</x:v>
      </x:c>
      <x:c r="L17" s="105" t="str">
        <x:f>IF('DBA Inputs'!$C$23=0,"PENDING",IF(D17&gt;='DBA Inputs'!$C$23,"PASS","FAIL"))</x:f>
        <x:v>PENDING</x:v>
      </x:c>
      <x:c r="M17" s="105" t="str">
        <x:f>IF('DBA Inputs'!$C$26=0,"PENDING",IF(E17&gt;='DBA Inputs'!$C$26,"PASS","FAIL"))</x:f>
        <x:v>PENDING</x:v>
      </x:c>
      <x:c r="N17" s="105" t="str">
        <x:f>IF('DBA Inputs'!$C$12=0,"PENDING",IF(H17&gt;='DBA Inputs'!$C$12,"PASS","FAIL"))</x:f>
        <x:v>PENDING</x:v>
      </x:c>
      <x:c r="O17" s="105" t="str">
        <x:f>IF('DBA Inputs'!$C$16=0,"PENDING",IF(J17&gt;='DBA Inputs'!$C$16,"PASS","FAIL"))</x:f>
        <x:v>PENDING</x:v>
      </x:c>
      <x:c r="P17" s="105" t="str">
        <x:f>IF('DBA Inputs'!$C$19=0,"PENDING",IF(F17&gt;='DBA Inputs'!$C$19,"PASS","FAIL"))</x:f>
        <x:v>PENDING</x:v>
      </x:c>
      <x:c r="Q17" s="105" t="str">
        <x:f>IF(COUNTIF(L17:P17,"PENDING")&gt;0,"PENDING",IF(COUNTIF(L17:P17,"FAIL")=0,"RESOURCE FIT","NO FIT"))</x:f>
        <x:v>PENDING</x:v>
      </x:c>
      <x:c r="R17" s="86" t="str"/>
      <x:c r="S17" s="84" t="str">
        <x:v>AWS specs retrieved 2026-07-21; sustained maximum</x:v>
      </x:c>
    </x:row>
    <x:row r="18">
      <x:c r="A18" s="84" t="str">
        <x:v>r8i.16xlarge</x:v>
      </x:c>
      <x:c r="B18" s="84" t="str">
        <x:v>R8i</x:v>
      </x:c>
      <x:c r="C18" s="84" t="str">
        <x:v>x86_64</x:v>
      </x:c>
      <x:c r="D18" s="104" t="n">
        <x:v>64</x:v>
      </x:c>
      <x:c r="E18" s="104" t="n">
        <x:v>512</x:v>
      </x:c>
      <x:c r="F18" s="104" t="n">
        <x:v>30</x:v>
      </x:c>
      <x:c r="G18" s="104" t="n">
        <x:v>30</x:v>
      </x:c>
      <x:c r="H18" s="104" t="n">
        <x:v>80000</x:v>
      </x:c>
      <x:c r="I18" s="104" t="n">
        <x:v>80000</x:v>
      </x:c>
      <x:c r="J18" s="104" t="n">
        <x:v>2500</x:v>
      </x:c>
      <x:c r="K18" s="104" t="n">
        <x:v>2500</x:v>
      </x:c>
      <x:c r="L18" s="105" t="str">
        <x:f>IF('DBA Inputs'!$C$23=0,"PENDING",IF(D18&gt;='DBA Inputs'!$C$23,"PASS","FAIL"))</x:f>
        <x:v>PENDING</x:v>
      </x:c>
      <x:c r="M18" s="105" t="str">
        <x:f>IF('DBA Inputs'!$C$26=0,"PENDING",IF(E18&gt;='DBA Inputs'!$C$26,"PASS","FAIL"))</x:f>
        <x:v>PENDING</x:v>
      </x:c>
      <x:c r="N18" s="105" t="str">
        <x:f>IF('DBA Inputs'!$C$12=0,"PENDING",IF(H18&gt;='DBA Inputs'!$C$12,"PASS","FAIL"))</x:f>
        <x:v>PENDING</x:v>
      </x:c>
      <x:c r="O18" s="105" t="str">
        <x:f>IF('DBA Inputs'!$C$16=0,"PENDING",IF(J18&gt;='DBA Inputs'!$C$16,"PASS","FAIL"))</x:f>
        <x:v>PENDING</x:v>
      </x:c>
      <x:c r="P18" s="105" t="str">
        <x:f>IF('DBA Inputs'!$C$19=0,"PENDING",IF(F18&gt;='DBA Inputs'!$C$19,"PASS","FAIL"))</x:f>
        <x:v>PENDING</x:v>
      </x:c>
      <x:c r="Q18" s="105" t="str">
        <x:f>IF(COUNTIF(L18:P18,"PENDING")&gt;0,"PENDING",IF(COUNTIF(L18:P18,"FAIL")=0,"RESOURCE FIT","NO FIT"))</x:f>
        <x:v>PENDING</x:v>
      </x:c>
      <x:c r="R18" s="86" t="str"/>
      <x:c r="S18" s="84" t="str">
        <x:v>AWS specs retrieved 2026-07-21; sustained maximum</x:v>
      </x:c>
    </x:row>
  </x:sheetData>
  <x:mergeCells>
    <x:mergeCell ref="A1:S2"/>
  </x:mergeCells>
  <x:conditionalFormatting sqref="L5:Q18">
    <x:cfRule type="containsText" dxfId="0" priority="1" operator="containsText" text="FAIL"/>
    <x:cfRule type="containsText" dxfId="1" priority="2" operator="containsText" text="PASS"/>
    <x:cfRule type="containsText" dxfId="3" priority="4" operator="containsText" text="PENDING"/>
  </x:conditionalFormatting>
  <x:conditionalFormatting sqref="Q5:Q18">
    <x:cfRule type="containsText" dxfId="2" priority="3" operator="containsText" text="NO FIT"/>
  </x:conditionalFormatting>
  <x:dataValidations count="1">
    <x:dataValidation type="list" sqref="R5:R18">
      <x:formula1>"Yes,No,Pending"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44" hidden="0" customWidth="1"/>
  </x:cols>
  <x:sheetData>
    <x:row r="1" ht="30" customHeight="1">
      <x:c r="A1" s="72" t="str">
        <x:v>AWS EBS Candidate Evaluation</x:v>
      </x:c>
      <x:c r="B1" s="72" t="str">
        <x:v>AWS EBS Candidate Evaluation</x:v>
      </x:c>
      <x:c r="C1" s="72" t="str">
        <x:v>AWS EBS Candidate Evaluation</x:v>
      </x:c>
      <x:c r="D1" s="72" t="str">
        <x:v>AWS EBS Candidate Evaluation</x:v>
      </x:c>
      <x:c r="E1" s="72" t="str">
        <x:v>AWS EBS Candidate Evaluation</x:v>
      </x:c>
      <x:c r="F1" s="72" t="str">
        <x:v>AWS EBS Candidate Evaluation</x:v>
      </x:c>
      <x:c r="G1" s="72" t="str">
        <x:v>AWS EBS Candidate Evaluation</x:v>
      </x:c>
      <x:c r="H1" s="72" t="str">
        <x:v>AWS EBS Candidate Evaluation</x:v>
      </x:c>
      <x:c r="I1" s="72" t="str">
        <x:v>AWS EBS Candidate Evaluation</x:v>
      </x:c>
      <x:c r="J1" s="72" t="str">
        <x:v>AWS EBS Candidate Evaluation</x:v>
      </x:c>
      <x:c r="K1" s="72" t="str">
        <x:v>AWS EBS Candidate Evaluation</x:v>
      </x:c>
      <x:c r="L1" s="72" t="str">
        <x:v>AWS EBS Candidate Evaluation</x:v>
      </x:c>
      <x:c r="M1" s="72" t="str">
        <x:v>AWS EBS Candidate Evaluation</x:v>
      </x:c>
      <x:c r="N1" s="72" t="str">
        <x:v>AWS EBS Candidate Evaluation</x:v>
      </x:c>
      <x:c r="O1" s="72" t="str">
        <x:v>AWS EBS Candidate Evaluation</x:v>
      </x:c>
      <x:c r="P1" s="72" t="str">
        <x:v>AWS EBS Candidate Evaluation</x:v>
      </x:c>
      <x:c r="Q1" s="72" t="str">
        <x:v>AWS EBS Candidate Evaluation</x:v>
      </x:c>
      <x:c r="R1" s="72" t="str">
        <x:v>AWS EBS Candidate Evaluation</x:v>
      </x:c>
    </x:row>
    <x:row r="2" ht="30" customHeight="1">
      <x:c r="A2" s="72" t="str">
        <x:v>AWS EBS Candidate Evaluation</x:v>
      </x:c>
      <x:c r="B2" s="72" t="str">
        <x:v>AWS EBS Candidate Evaluation</x:v>
      </x:c>
      <x:c r="C2" s="72" t="str">
        <x:v>AWS EBS Candidate Evaluation</x:v>
      </x:c>
      <x:c r="D2" s="72" t="str">
        <x:v>AWS EBS Candidate Evaluation</x:v>
      </x:c>
      <x:c r="E2" s="72" t="str">
        <x:v>AWS EBS Candidate Evaluation</x:v>
      </x:c>
      <x:c r="F2" s="72" t="str">
        <x:v>AWS EBS Candidate Evaluation</x:v>
      </x:c>
      <x:c r="G2" s="72" t="str">
        <x:v>AWS EBS Candidate Evaluation</x:v>
      </x:c>
      <x:c r="H2" s="72" t="str">
        <x:v>AWS EBS Candidate Evaluation</x:v>
      </x:c>
      <x:c r="I2" s="72" t="str">
        <x:v>AWS EBS Candidate Evaluation</x:v>
      </x:c>
      <x:c r="J2" s="72" t="str">
        <x:v>AWS EBS Candidate Evaluation</x:v>
      </x:c>
      <x:c r="K2" s="72" t="str">
        <x:v>AWS EBS Candidate Evaluation</x:v>
      </x:c>
      <x:c r="L2" s="72" t="str">
        <x:v>AWS EBS Candidate Evaluation</x:v>
      </x:c>
      <x:c r="M2" s="72" t="str">
        <x:v>AWS EBS Candidate Evaluation</x:v>
      </x:c>
      <x:c r="N2" s="72" t="str">
        <x:v>AWS EBS Candidate Evaluation</x:v>
      </x:c>
      <x:c r="O2" s="72" t="str">
        <x:v>AWS EBS Candidate Evaluation</x:v>
      </x:c>
      <x:c r="P2" s="72" t="str">
        <x:v>AWS EBS Candidate Evaluation</x:v>
      </x:c>
      <x:c r="Q2" s="72" t="str">
        <x:v>AWS EBS Candidate Evaluation</x:v>
      </x:c>
      <x:c r="R2" s="72" t="str">
        <x:v>AWS EBS Candidate Evaluation</x:v>
      </x:c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s="73"/>
      <x:c r="P3" s="73"/>
      <x:c r="Q3" s="73"/>
      <x:c r="R3" s="73"/>
    </x:row>
    <x:row r="4">
      <x:c r="A4" s="27" t="str">
        <x:v>Candidate</x:v>
      </x:c>
      <x:c r="B4" s="27" t="str">
        <x:v>Volume type</x:v>
      </x:c>
      <x:c r="C4" s="27" t="str">
        <x:v>Size GiB</x:v>
      </x:c>
      <x:c r="D4" s="27" t="str">
        <x:v>Provisioned IOPS</x:v>
      </x:c>
      <x:c r="E4" s="27" t="str">
        <x:v>Provisioned throughput MiB/s</x:v>
      </x:c>
      <x:c r="F4" s="27" t="str">
        <x:v>Type max size GiB</x:v>
      </x:c>
      <x:c r="G4" s="27" t="str">
        <x:v>Type max IOPS</x:v>
      </x:c>
      <x:c r="H4" s="27" t="str">
        <x:v>Type max throughput MiB/s</x:v>
      </x:c>
      <x:c r="I4" s="27" t="str">
        <x:v>Latency class</x:v>
      </x:c>
      <x:c r="J4" s="27" t="str">
        <x:v>Effective sustained IOPS</x:v>
      </x:c>
      <x:c r="K4" s="27" t="str">
        <x:v>Effective sustained throughput</x:v>
      </x:c>
      <x:c r="L4" s="27" t="str">
        <x:v>Capacity fit</x:v>
      </x:c>
      <x:c r="M4" s="27" t="str">
        <x:v>IOPS fit</x:v>
      </x:c>
      <x:c r="N4" s="27" t="str">
        <x:v>Throughput fit</x:v>
      </x:c>
      <x:c r="O4" s="27" t="str">
        <x:v>Within type limits</x:v>
      </x:c>
      <x:c r="P4" s="27" t="str">
        <x:v>EC2 limit configured</x:v>
      </x:c>
      <x:c r="Q4" s="27" t="str">
        <x:v>Overall fit</x:v>
      </x:c>
      <x:c r="R4" s="27" t="str">
        <x:v>Notes / source</x:v>
      </x:c>
    </x:row>
    <x:row r="5">
      <x:c r="A5" s="84" t="str">
        <x:v>gp3 baseline</x:v>
      </x:c>
      <x:c r="B5" s="86" t="str">
        <x:v>gp3</x:v>
      </x:c>
      <x:c r="C5" s="95" t="n">
        <x:f>ROUNDUP('DBA Inputs'!$C$25,0)</x:f>
        <x:v>29</x:v>
      </x:c>
      <x:c r="D5" s="95" t="n">
        <x:v>3000</x:v>
      </x:c>
      <x:c r="E5" s="95" t="n">
        <x:v>125</x:v>
      </x:c>
      <x:c r="F5" s="96" t="n">
        <x:v>65536</x:v>
      </x:c>
      <x:c r="G5" s="96" t="n">
        <x:v>80000</x:v>
      </x:c>
      <x:c r="H5" s="96" t="n">
        <x:v>2000</x:v>
      </x:c>
      <x:c r="I5" s="101" t="str">
        <x:v>Single-digit ms</x:v>
      </x:c>
      <x:c r="J5" s="97" t="n">
        <x:f>MIN(D5,'DBA Inputs'!$C$31)</x:f>
        <x:v>0</x:v>
      </x:c>
      <x:c r="K5" s="97" t="n">
        <x:f>MIN(E5,'DBA Inputs'!$C$32)</x:f>
        <x:v>0</x:v>
      </x:c>
      <x:c r="L5" s="105" t="str">
        <x:f>IF(C5&gt;='DBA Inputs'!$C$25,"PASS","FAIL")</x:f>
        <x:v>PASS</x:v>
      </x:c>
      <x:c r="M5" s="105" t="str">
        <x:f>IF('DBA Inputs'!$C$12=0,"PENDING",IF(J5&gt;='DBA Inputs'!$C$12,"PASS","FAIL"))</x:f>
        <x:v>PENDING</x:v>
      </x:c>
      <x:c r="N5" s="105" t="str">
        <x:f>IF('DBA Inputs'!$C$16=0,"PENDING",IF(K5&gt;='DBA Inputs'!$C$16,"PASS","FAIL"))</x:f>
        <x:v>PENDING</x:v>
      </x:c>
      <x:c r="O5" s="105" t="str">
        <x:f>IF(OR(D5=0,E5=0),"PENDING",IF(B5="gp3",IF(AND(C5&lt;=F5,D5&lt;=MIN(G5,MAX(3000,C5*500)),E5&lt;=MIN(H5,MAX(125,D5*0.25))),"PASS","FAIL"),IF(AND(C5&lt;=F5,D5&lt;=MIN(G5,C5*1000),E5&lt;=MIN(H5,D5*0.256)),"PASS","FAIL")))</x:f>
        <x:v>PASS</x:v>
      </x:c>
      <x:c r="P5" s="105" t="str">
        <x:f>IF(AND('DBA Inputs'!$C$31&gt;0,'DBA Inputs'!$C$32&gt;0),"YES","NO")</x:f>
        <x:v>NO</x:v>
      </x:c>
      <x:c r="Q5" s="105" t="str">
        <x:f>IF(OR(COUNTIF(L5:O5,"PENDING")&gt;0,P5="NO"),"PENDING",IF(COUNTIF(L5:O5,"FAIL")=0,"RESOURCE FIT","NO FIT"))</x:f>
        <x:v>PENDING</x:v>
      </x:c>
      <x:c r="R5" s="84" t="str">
        <x:v>AWS specs retrieved 2026-07-21</x:v>
      </x:c>
    </x:row>
    <x:row r="6">
      <x:c r="A6" s="84" t="str">
        <x:v>gp3 custom</x:v>
      </x:c>
      <x:c r="B6" s="86" t="str">
        <x:v>gp3</x:v>
      </x:c>
      <x:c r="C6" s="95" t="n">
        <x:f>ROUNDUP('DBA Inputs'!$C$25,0)</x:f>
        <x:v>29</x:v>
      </x:c>
      <x:c r="D6" s="95" t="n">
        <x:v>0</x:v>
      </x:c>
      <x:c r="E6" s="95" t="n">
        <x:v>0</x:v>
      </x:c>
      <x:c r="F6" s="96" t="n">
        <x:v>65536</x:v>
      </x:c>
      <x:c r="G6" s="96" t="n">
        <x:v>80000</x:v>
      </x:c>
      <x:c r="H6" s="96" t="n">
        <x:v>2000</x:v>
      </x:c>
      <x:c r="I6" s="101" t="str">
        <x:v>Single-digit ms</x:v>
      </x:c>
      <x:c r="J6" s="97" t="n">
        <x:f>MIN(D6,'DBA Inputs'!$C$31)</x:f>
        <x:v>0</x:v>
      </x:c>
      <x:c r="K6" s="97" t="n">
        <x:f>MIN(E6,'DBA Inputs'!$C$32)</x:f>
        <x:v>0</x:v>
      </x:c>
      <x:c r="L6" s="105" t="str">
        <x:f>IF(C6&gt;='DBA Inputs'!$C$25,"PASS","FAIL")</x:f>
        <x:v>PASS</x:v>
      </x:c>
      <x:c r="M6" s="105" t="str">
        <x:f>IF('DBA Inputs'!$C$12=0,"PENDING",IF(J6&gt;='DBA Inputs'!$C$12,"PASS","FAIL"))</x:f>
        <x:v>PENDING</x:v>
      </x:c>
      <x:c r="N6" s="105" t="str">
        <x:f>IF('DBA Inputs'!$C$16=0,"PENDING",IF(K6&gt;='DBA Inputs'!$C$16,"PASS","FAIL"))</x:f>
        <x:v>PENDING</x:v>
      </x:c>
      <x:c r="O6" s="105" t="str">
        <x:f>IF(OR(D6=0,E6=0),"PENDING",IF(B6="gp3",IF(AND(C6&lt;=F6,D6&lt;=MIN(G6,MAX(3000,C6*500)),E6&lt;=MIN(H6,MAX(125,D6*0.25))),"PASS","FAIL"),IF(AND(C6&lt;=F6,D6&lt;=MIN(G6,C6*1000),E6&lt;=MIN(H6,D6*0.256)),"PASS","FAIL")))</x:f>
        <x:v>PENDING</x:v>
      </x:c>
      <x:c r="P6" s="105" t="str">
        <x:f>IF(AND('DBA Inputs'!$C$31&gt;0,'DBA Inputs'!$C$32&gt;0),"YES","NO")</x:f>
        <x:v>NO</x:v>
      </x:c>
      <x:c r="Q6" s="105" t="str">
        <x:f>IF(OR(COUNTIF(L6:O6,"PENDING")&gt;0,P6="NO"),"PENDING",IF(COUNTIF(L6:O6,"FAIL")=0,"RESOURCE FIT","NO FIT"))</x:f>
        <x:v>PENDING</x:v>
      </x:c>
      <x:c r="R6" s="84" t="str">
        <x:v>Enter proposed IOPS and throughput</x:v>
      </x:c>
    </x:row>
    <x:row r="7">
      <x:c r="A7" s="84" t="str">
        <x:v>io2 candidate</x:v>
      </x:c>
      <x:c r="B7" s="86" t="str">
        <x:v>io2</x:v>
      </x:c>
      <x:c r="C7" s="95" t="n">
        <x:f>ROUNDUP('DBA Inputs'!$C$25,0)</x:f>
        <x:v>29</x:v>
      </x:c>
      <x:c r="D7" s="95" t="n">
        <x:v>0</x:v>
      </x:c>
      <x:c r="E7" s="95" t="n">
        <x:v>0</x:v>
      </x:c>
      <x:c r="F7" s="96" t="n">
        <x:v>65536</x:v>
      </x:c>
      <x:c r="G7" s="96" t="n">
        <x:v>256000</x:v>
      </x:c>
      <x:c r="H7" s="96" t="n">
        <x:v>4000</x:v>
      </x:c>
      <x:c r="I7" s="101" t="str">
        <x:v>Average &lt;500 µs at 16 KiB on Nitro</x:v>
      </x:c>
      <x:c r="J7" s="97" t="n">
        <x:f>MIN(D7,'DBA Inputs'!$C$31)</x:f>
        <x:v>0</x:v>
      </x:c>
      <x:c r="K7" s="97" t="n">
        <x:f>MIN(E7,'DBA Inputs'!$C$32)</x:f>
        <x:v>0</x:v>
      </x:c>
      <x:c r="L7" s="105" t="str">
        <x:f>IF(C7&gt;='DBA Inputs'!$C$25,"PASS","FAIL")</x:f>
        <x:v>PASS</x:v>
      </x:c>
      <x:c r="M7" s="105" t="str">
        <x:f>IF('DBA Inputs'!$C$12=0,"PENDING",IF(J7&gt;='DBA Inputs'!$C$12,"PASS","FAIL"))</x:f>
        <x:v>PENDING</x:v>
      </x:c>
      <x:c r="N7" s="105" t="str">
        <x:f>IF('DBA Inputs'!$C$16=0,"PENDING",IF(K7&gt;='DBA Inputs'!$C$16,"PASS","FAIL"))</x:f>
        <x:v>PENDING</x:v>
      </x:c>
      <x:c r="O7" s="105" t="str">
        <x:f>IF(OR(D7=0,E7=0),"PENDING",IF(B7="gp3",IF(AND(C7&lt;=F7,D7&lt;=MIN(G7,MAX(3000,C7*500)),E7&lt;=MIN(H7,MAX(125,D7*0.25))),"PASS","FAIL"),IF(AND(C7&lt;=F7,D7&lt;=MIN(G7,C7*1000),E7&lt;=MIN(H7,D7*0.256)),"PASS","FAIL")))</x:f>
        <x:v>PENDING</x:v>
      </x:c>
      <x:c r="P7" s="105" t="str">
        <x:f>IF(AND('DBA Inputs'!$C$31&gt;0,'DBA Inputs'!$C$32&gt;0),"YES","NO")</x:f>
        <x:v>NO</x:v>
      </x:c>
      <x:c r="Q7" s="105" t="str">
        <x:f>IF(OR(COUNTIF(L7:O7,"PENDING")&gt;0,P7="NO"),"PENDING",IF(COUNTIF(L7:O7,"FAIL")=0,"RESOURCE FIT","NO FIT"))</x:f>
        <x:v>PENDING</x:v>
      </x:c>
      <x:c r="R7" s="84" t="str">
        <x:v>Verify Nitro and regional support</x:v>
      </x:c>
    </x:row>
    <x:row r="8">
      <x:c r="A8" s="84" t="str">
        <x:v>Additional candidate</x:v>
      </x:c>
      <x:c r="B8" s="86" t="str">
        <x:v>gp3</x:v>
      </x:c>
      <x:c r="C8" s="95" t="n">
        <x:f>ROUNDUP('DBA Inputs'!$C$25,0)</x:f>
        <x:v>29</x:v>
      </x:c>
      <x:c r="D8" s="95" t="n">
        <x:v>0</x:v>
      </x:c>
      <x:c r="E8" s="95" t="n">
        <x:v>0</x:v>
      </x:c>
      <x:c r="F8" s="96" t="n">
        <x:v>65536</x:v>
      </x:c>
      <x:c r="G8" s="96" t="n">
        <x:v>80000</x:v>
      </x:c>
      <x:c r="H8" s="96" t="n">
        <x:v>2000</x:v>
      </x:c>
      <x:c r="I8" s="101" t="str"/>
      <x:c r="J8" s="97" t="n">
        <x:f>MIN(D8,'DBA Inputs'!$C$31)</x:f>
        <x:v>0</x:v>
      </x:c>
      <x:c r="K8" s="97" t="n">
        <x:f>MIN(E8,'DBA Inputs'!$C$32)</x:f>
        <x:v>0</x:v>
      </x:c>
      <x:c r="L8" s="105" t="str">
        <x:f>IF(C8&gt;='DBA Inputs'!$C$25,"PASS","FAIL")</x:f>
        <x:v>PASS</x:v>
      </x:c>
      <x:c r="M8" s="105" t="str">
        <x:f>IF('DBA Inputs'!$C$12=0,"PENDING",IF(J8&gt;='DBA Inputs'!$C$12,"PASS","FAIL"))</x:f>
        <x:v>PENDING</x:v>
      </x:c>
      <x:c r="N8" s="105" t="str">
        <x:f>IF('DBA Inputs'!$C$16=0,"PENDING",IF(K8&gt;='DBA Inputs'!$C$16,"PASS","FAIL"))</x:f>
        <x:v>PENDING</x:v>
      </x:c>
      <x:c r="O8" s="105" t="str">
        <x:f>IF(OR(D8=0,E8=0),"PENDING",IF(B8="gp3",IF(AND(C8&lt;=F8,D8&lt;=MIN(G8,MAX(3000,C8*500)),E8&lt;=MIN(H8,MAX(125,D8*0.25))),"PASS","FAIL"),IF(AND(C8&lt;=F8,D8&lt;=MIN(G8,C8*1000),E8&lt;=MIN(H8,D8*0.256)),"PASS","FAIL")))</x:f>
        <x:v>PENDING</x:v>
      </x:c>
      <x:c r="P8" s="105" t="str">
        <x:f>IF(AND('DBA Inputs'!$C$31&gt;0,'DBA Inputs'!$C$32&gt;0),"YES","NO")</x:f>
        <x:v>NO</x:v>
      </x:c>
      <x:c r="Q8" s="105" t="str">
        <x:f>IF(OR(COUNTIF(L8:O8,"PENDING")&gt;0,P8="NO"),"PENDING",IF(COUNTIF(L8:O8,"FAIL")=0,"RESOURCE FIT","NO FIT"))</x:f>
        <x:v>PENDING</x:v>
      </x:c>
      <x:c r="R8" s="84" t="str">
        <x:v>Editable candidate row</x:v>
      </x:c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s="73"/>
      <x:c r="P9" s="73"/>
      <x:c r="Q9" s="73"/>
      <x:c r="R9" s="73"/>
    </x:row>
    <x:row r="10">
      <x:c r="A10" s="34" t="str">
        <x:v>Effective performance is the lower of provisioned EBS performance and the selected EC2 instance's sustained EBS limit. Enter the selected EC2 limits in DBA Inputs.</x:v>
      </x:c>
      <x:c r="B10" s="34"/>
      <x:c r="C10" s="34"/>
      <x:c r="D10" s="34"/>
      <x:c r="E10" s="34"/>
      <x:c r="F10" s="34"/>
      <x:c r="G10" s="34"/>
      <x:c r="H10" s="34"/>
      <x:c r="I10" s="34"/>
      <x:c r="J10" s="34"/>
      <x:c r="K10" s="34"/>
      <x:c r="L10" s="34"/>
      <x:c r="M10" s="34"/>
      <x:c r="N10" s="34"/>
      <x:c r="O10" s="34"/>
      <x:c r="P10" s="34"/>
      <x:c r="Q10" s="34"/>
      <x:c r="R10" s="34"/>
    </x:row>
  </x:sheetData>
  <x:mergeCells>
    <x:mergeCell ref="A1:R2"/>
    <x:mergeCell ref="A10:R10"/>
  </x:mergeCells>
  <x:conditionalFormatting sqref="L5:Q8">
    <x:cfRule type="containsText" dxfId="4" priority="1" operator="containsText" text="FAIL"/>
    <x:cfRule type="containsText" dxfId="5" priority="2" operator="containsText" text="PASS"/>
    <x:cfRule type="containsText" dxfId="7" priority="4" operator="containsText" text="PENDING"/>
  </x:conditionalFormatting>
  <x:conditionalFormatting sqref="Q5:Q8">
    <x:cfRule type="containsText" dxfId="6" priority="3" operator="containsText" text="NO FIT"/>
  </x:conditionalFormatting>
  <x:dataValidations count="1">
    <x:dataValidation type="list" sqref="B5:B8">
      <x:formula1>"gp3,io2"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8" hidden="0" customWidth="1"/>
    <x:col min="3" max="3" width="13" hidden="0" customWidth="1"/>
    <x:col min="4" max="4" width="55" hidden="0" customWidth="1"/>
  </x:cols>
  <x:sheetData>
    <x:row r="1" ht="30" customHeight="1">
      <x:c r="A1" s="72" t="str">
        <x:v>Sources and Rule Classification</x:v>
      </x:c>
      <x:c r="B1" s="72" t="str">
        <x:v>Sources and Rule Classification</x:v>
      </x:c>
      <x:c r="C1" s="72" t="str">
        <x:v>Sources and Rule Classification</x:v>
      </x:c>
      <x:c r="D1" s="72" t="str">
        <x:v>Sources and Rule Classification</x:v>
      </x:c>
    </x:row>
    <x:row r="2" ht="30" customHeight="1">
      <x:c r="A2" s="72" t="str">
        <x:v>Sources and Rule Classification</x:v>
      </x:c>
      <x:c r="B2" s="72" t="str">
        <x:v>Sources and Rule Classification</x:v>
      </x:c>
      <x:c r="C2" s="72" t="str">
        <x:v>Sources and Rule Classification</x:v>
      </x:c>
      <x:c r="D2" s="72" t="str">
        <x:v>Sources and Rule Classification</x:v>
      </x:c>
    </x:row>
    <x:row r="3">
      <x:c r="A3" s="73"/>
      <x:c r="B3" s="73"/>
      <x:c r="C3" s="73"/>
      <x:c r="D3" s="73"/>
    </x:row>
    <x:row r="4">
      <x:c r="A4" s="27" t="str">
        <x:v>Source</x:v>
      </x:c>
      <x:c r="B4" s="27" t="str">
        <x:v>URL</x:v>
      </x:c>
      <x:c r="C4" s="27" t="str">
        <x:v>Type</x:v>
      </x:c>
      <x:c r="D4" s="27" t="str">
        <x:v>Use in workbook</x:v>
      </x:c>
    </x:row>
    <x:row r="5">
      <x:c r="A5" s="84" t="str">
        <x:v>MongoDB Production Notes</x:v>
      </x:c>
      <x:c r="B5" s="84" t="str">
        <x:v>https://www.mongodb.com/docs/manual/administration/production-notes/</x:v>
      </x:c>
      <x:c r="C5" s="106" t="str">
        <x:v>Primary</x:v>
      </x:c>
      <x:c r="D5" s="84" t="str">
        <x:v>CPU baseline, WiredTiger cache, filesystem cache, production considerations</x:v>
      </x:c>
    </x:row>
    <x:row r="6">
      <x:c r="A6" s="84" t="str">
        <x:v>MongoDB WiredTiger</x:v>
      </x:c>
      <x:c r="B6" s="84" t="str">
        <x:v>https://www.mongodb.com/docs/manual/core/wiredtiger/</x:v>
      </x:c>
      <x:c r="C6" s="106" t="str">
        <x:v>Primary</x:v>
      </x:c>
      <x:c r="D6" s="84" t="str">
        <x:v>Cache and compression behavior</x:v>
      </x:c>
    </x:row>
    <x:row r="7">
      <x:c r="A7" s="84" t="str">
        <x:v>MongoDB Schema Design</x:v>
      </x:c>
      <x:c r="B7" s="84" t="str">
        <x:v>https://www.mongodb.com/docs/manual/data-modeling/schema-design-process/</x:v>
      </x:c>
      <x:c r="C7" s="106" t="str">
        <x:v>Primary</x:v>
      </x:c>
      <x:c r="D7" s="84" t="str">
        <x:v>Workload-first schema and index process</x:v>
      </x:c>
    </x:row>
    <x:row r="8">
      <x:c r="A8" s="84" t="str">
        <x:v>MongoDB Identify Workload</x:v>
      </x:c>
      <x:c r="B8" s="84" t="str">
        <x:v>https://www.mongodb.com/docs/manual/data-modeling/schema-design-process/identify-workload/</x:v>
      </x:c>
      <x:c r="C8" s="106" t="str">
        <x:v>Primary</x:v>
      </x:c>
      <x:c r="D8" s="84" t="str">
        <x:v>Query/action inventory</x:v>
      </x:c>
    </x:row>
    <x:row r="9">
      <x:c r="A9" s="84" t="str">
        <x:v>MongoDB Index Guidance</x:v>
      </x:c>
      <x:c r="B9" s="84" t="str">
        <x:v>https://www.mongodb.com/docs/manual/data-modeling/schema-design-process/create-indexes/</x:v>
      </x:c>
      <x:c r="C9" s="106" t="str">
        <x:v>Primary</x:v>
      </x:c>
      <x:c r="D9" s="84" t="str">
        <x:v>Query-supported indexes and index overhead</x:v>
      </x:c>
    </x:row>
    <x:row r="10">
      <x:c r="A10" s="84" t="str">
        <x:v>MongoDB Shard Key</x:v>
      </x:c>
      <x:c r="B10" s="84" t="str">
        <x:v>https://www.mongodb.com/docs/manual/core/sharding-choose-a-shard-key/</x:v>
      </x:c>
      <x:c r="C10" s="106" t="str">
        <x:v>Primary</x:v>
      </x:c>
      <x:c r="D10" s="84" t="str">
        <x:v>Cardinality, frequency, monotonicity, and query distribution</x:v>
      </x:c>
    </x:row>
    <x:row r="11">
      <x:c r="A11" s="84" t="str">
        <x:v>AWS EC2 Memory-Optimized Specifications</x:v>
      </x:c>
      <x:c r="B11" s="84" t="str">
        <x:v>https://docs.aws.amazon.com/ec2/latest/instancetypes/mo.html</x:v>
      </x:c>
      <x:c r="C11" s="106" t="str">
        <x:v>Primary</x:v>
      </x:c>
      <x:c r="D11" s="84" t="str">
        <x:v>vCPU, RAM, network, and EBS limits; retrieved 2026-07-21</x:v>
      </x:c>
    </x:row>
    <x:row r="12">
      <x:c r="A12" s="84" t="str">
        <x:v>AWS EBS-Optimized Instances</x:v>
      </x:c>
      <x:c r="B12" s="84" t="str">
        <x:v>https://docs.aws.amazon.com/AWSEC2/latest/UserGuide/ebs-optimized.html</x:v>
      </x:c>
      <x:c r="C12" s="106" t="str">
        <x:v>Primary</x:v>
      </x:c>
      <x:c r="D12" s="84" t="str">
        <x:v>Baseline and maximum instance EBS performance</x:v>
      </x:c>
    </x:row>
    <x:row r="13">
      <x:c r="A13" s="84" t="str">
        <x:v>Amazon EBS gp3</x:v>
      </x:c>
      <x:c r="B13" s="84" t="str">
        <x:v>https://docs.aws.amazon.com/ebs/latest/userguide/general-purpose.html</x:v>
      </x:c>
      <x:c r="C13" s="106" t="str">
        <x:v>Primary</x:v>
      </x:c>
      <x:c r="D13" s="84" t="str">
        <x:v>gp3 capacity, IOPS, throughput, latency, and ratios</x:v>
      </x:c>
    </x:row>
    <x:row r="14">
      <x:c r="A14" s="84" t="str">
        <x:v>Amazon EBS io2 Block Express</x:v>
      </x:c>
      <x:c r="B14" s="84" t="str">
        <x:v>https://docs.aws.amazon.com/ebs/latest/userguide/provisioned-iops.html</x:v>
      </x:c>
      <x:c r="C14" s="106" t="str">
        <x:v>Primary</x:v>
      </x:c>
      <x:c r="D14" s="84" t="str">
        <x:v>io2 capacity, IOPS, throughput, latency, and ratios</x:v>
      </x:c>
    </x:row>
    <x:row r="15">
      <x:c r="A15" s="84" t="str">
        <x:v>OVHcloud Cluster Sizing</x:v>
      </x:c>
      <x:c r="B15" s="84" t="str">
        <x:v>https://docs.ovhcloud.com/en/guides/public-cloud/databases/mongodb-cluster-sizing</x:v>
      </x:c>
      <x:c r="C15" s="106" t="str">
        <x:v>Secondary</x:v>
      </x:c>
      <x:c r="D15" s="84" t="str">
        <x:v>Heuristic cross-check only</x:v>
      </x:c>
    </x:row>
  </x:sheetData>
  <x:mergeCells>
    <x:mergeCell ref="A1:D2"/>
  </x:mergeCells>
  <x:pageMargins left="0.7" right="0.7" top="0.75" bottom="0.75" header="0.3" footer="0.3"/>
</x:worksheet>
</file>